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tables/table1.xml" ContentType="application/vnd.openxmlformats-officedocument.spreadsheetml.tabl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32" codeName="{372AB895-14C1-FC20-EB20-F1B4BCFD95AE}"/>
  <workbookPr codeName="EstaPastaDeTrabalho" defaultThemeVersion="202300"/>
  <mc:AlternateContent xmlns:mc="http://schemas.openxmlformats.org/markup-compatibility/2006">
    <mc:Choice Requires="x15">
      <x15ac:absPath xmlns:x15ac="http://schemas.microsoft.com/office/spreadsheetml/2010/11/ac" url="C:\Users\Windcraft\Desktop\"/>
    </mc:Choice>
  </mc:AlternateContent>
  <xr:revisionPtr revIDLastSave="0" documentId="13_ncr:1_{D46E0981-1B3D-41BF-9139-FC9040DB8D9B}" xr6:coauthVersionLast="47" xr6:coauthVersionMax="47" xr10:uidLastSave="{00000000-0000-0000-0000-000000000000}"/>
  <bookViews>
    <workbookView xWindow="20370" yWindow="-120" windowWidth="24240" windowHeight="13020" xr2:uid="{8079F205-680C-4FC3-A9DB-E1B3AB6C4EC1}"/>
  </bookViews>
  <sheets>
    <sheet name="Planilha1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E5" i="1" l="1"/>
  <c r="E6" i="1"/>
  <c r="E7" i="1"/>
  <c r="E8" i="1"/>
  <c r="E9" i="1"/>
  <c r="E10" i="1"/>
  <c r="E11" i="1"/>
  <c r="E12" i="1"/>
  <c r="E13" i="1"/>
  <c r="E14" i="1"/>
  <c r="E15" i="1"/>
  <c r="F5" i="1"/>
  <c r="F6" i="1"/>
  <c r="F7" i="1"/>
  <c r="F8" i="1"/>
  <c r="F9" i="1"/>
  <c r="F10" i="1"/>
  <c r="F11" i="1"/>
  <c r="F12" i="1"/>
  <c r="F13" i="1"/>
  <c r="F14" i="1"/>
  <c r="F15" i="1"/>
</calcChain>
</file>

<file path=xl/sharedStrings.xml><?xml version="1.0" encoding="utf-8"?>
<sst xmlns="http://schemas.openxmlformats.org/spreadsheetml/2006/main" count="18" uniqueCount="18">
  <si>
    <t xml:space="preserve">Windcraft Engenharia </t>
  </si>
  <si>
    <t xml:space="preserve">Estados </t>
  </si>
  <si>
    <t>Funcionário</t>
  </si>
  <si>
    <t>AM</t>
  </si>
  <si>
    <t>BA</t>
  </si>
  <si>
    <t>CE</t>
  </si>
  <si>
    <t>GO</t>
  </si>
  <si>
    <t>MS</t>
  </si>
  <si>
    <t>PE</t>
  </si>
  <si>
    <t>PR</t>
  </si>
  <si>
    <t>RN</t>
  </si>
  <si>
    <t>RO</t>
  </si>
  <si>
    <t>RS</t>
  </si>
  <si>
    <t>SP</t>
  </si>
  <si>
    <t>Potência</t>
  </si>
  <si>
    <t>Valor Gráfico</t>
  </si>
  <si>
    <t>Rev.</t>
  </si>
  <si>
    <t>Média Valores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</si>
</sst>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4" formatCode="_-&quot;R$&quot;\ * #,##0.00_-;\-&quot;R$&quot;\ * #,##0.00_-;_-&quot;R$&quot;\ * &quot;-&quot;??_-;_-@_-"/>
  </numFmts>
  <fonts count="4" x14ac:knownFonts="1">
    <font>
      <sz val="11"/>
      <color theme="1"/>
      <name val="Times New Roman"/>
      <family val="2"/>
    </font>
    <font>
      <sz val="11"/>
      <color theme="1"/>
      <name val="Times New Roman"/>
      <family val="2"/>
    </font>
    <font>
      <sz val="11"/>
      <color theme="0"/>
      <name val="Times New Roman"/>
      <family val="2"/>
    </font>
    <font>
      <sz val="14"/>
      <color theme="0"/>
      <name val="Times New Roman"/>
      <family val="2"/>
    </font>
  </fonts>
  <fills count="4">
    <fill>
      <patternFill patternType="none"/>
    </fill>
    <fill>
      <patternFill patternType="gray125"/>
    </fill>
    <fill>
      <patternFill patternType="solid">
        <fgColor rgb="FF002060"/>
        <bgColor indexed="64"/>
      </patternFill>
    </fill>
    <fill>
      <patternFill patternType="solid">
        <fgColor theme="0" tint="-4.9989318521683403E-2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44" fontId="1" fillId="0" borderId="0" applyFont="0" applyFill="0" applyBorder="0" applyAlignment="0" applyProtection="0"/>
  </cellStyleXfs>
  <cellXfs count="17">
    <xf numFmtId="0" fontId="0" fillId="0" borderId="0" xfId="0"/>
    <xf numFmtId="0" fontId="0" fillId="2" borderId="0" xfId="0" applyFill="1"/>
    <xf numFmtId="0" fontId="2" fillId="2" borderId="0" xfId="0" applyFont="1" applyFill="1"/>
    <xf numFmtId="0" fontId="0" fillId="0" borderId="0" xfId="0" applyAlignment="1">
      <alignment horizontal="center"/>
    </xf>
    <xf numFmtId="0" fontId="0" fillId="3" borderId="0" xfId="0" applyFill="1"/>
    <xf numFmtId="2" fontId="0" fillId="3" borderId="0" xfId="0" applyNumberFormat="1" applyFill="1"/>
    <xf numFmtId="0" fontId="3" fillId="2" borderId="0" xfId="0" applyFont="1" applyFill="1" applyAlignment="1">
      <alignment horizontal="left" vertical="center"/>
    </xf>
    <xf numFmtId="2" fontId="0" fillId="0" borderId="0" xfId="0" applyNumberFormat="1" applyAlignment="1">
      <alignment horizontal="center"/>
    </xf>
    <xf numFmtId="2" fontId="0" fillId="0" borderId="0" xfId="1" applyNumberFormat="1" applyFont="1" applyAlignment="1">
      <alignment horizontal="center"/>
    </xf>
    <xf numFmtId="0" fontId="2" fillId="3" borderId="0" xfId="0" applyFont="1" applyFill="1"/>
    <xf numFmtId="0" fontId="2" fillId="0" borderId="0" xfId="0" applyFont="1" applyAlignment="1">
      <alignment horizontal="center"/>
    </xf>
    <xf numFmtId="0" fontId="0" fillId="3" borderId="0" xfId="0" applyFill="1" applyAlignment="1">
      <alignment horizontal="center"/>
    </xf>
    <xf numFmtId="2" fontId="0" fillId="3" borderId="0" xfId="1" applyNumberFormat="1" applyFont="1" applyFill="1" applyAlignment="1">
      <alignment horizontal="center"/>
    </xf>
    <xf numFmtId="0" fontId="2" fillId="3" borderId="0" xfId="0" applyFont="1" applyFill="1" applyAlignment="1">
      <alignment horizontal="center"/>
    </xf>
    <xf numFmtId="0" fontId="0" fillId="3" borderId="0" xfId="0" applyFill="1" applyAlignment="1">
      <alignment horizontal="center" vertical="center"/>
    </xf>
    <xf numFmtId="2" fontId="0" fillId="3" borderId="0" xfId="0" applyNumberFormat="1" applyFill="1" applyAlignment="1">
      <alignment horizontal="center" vertical="center"/>
    </xf>
    <xf numFmtId="0" fontId="3" fillId="2" borderId="0" xfId="0" applyFont="1" applyFill="1" applyAlignment="1">
      <alignment horizontal="left" vertical="center"/>
    </xf>
  </cellXfs>
  <cellStyles count="2">
    <cellStyle name="Moeda" xfId="1" builtinId="4"/>
    <cellStyle name="Normal" xfId="0" builtinId="0"/>
  </cellStyles>
  <dxfs count="8">
    <dxf>
      <font>
        <strike val="0"/>
        <outline val="0"/>
        <shadow val="0"/>
        <u val="none"/>
        <vertAlign val="baseline"/>
        <sz val="11"/>
        <color theme="0"/>
        <name val="Times New Roman"/>
        <family val="2"/>
        <scheme val="none"/>
      </font>
      <alignment horizontal="center" vertical="bottom" textRotation="0" wrapText="0" indent="0" justifyLastLine="0" shrinkToFit="0" readingOrder="0"/>
    </dxf>
    <dxf>
      <numFmt numFmtId="2" formatCode="0.00"/>
      <alignment horizontal="center" vertical="bottom" textRotation="0" wrapText="0" indent="0" justifyLastLine="0" shrinkToFit="0" readingOrder="0"/>
    </dxf>
    <dxf>
      <numFmt numFmtId="2" formatCode="0.00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Times New Roman"/>
        <family val="2"/>
        <scheme val="none"/>
      </font>
      <numFmt numFmtId="2" formatCode="0.00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ont>
        <color theme="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MWp/Valor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2"/>
          <c:order val="0"/>
          <c:tx>
            <c:v>MWp/Valor</c:v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Planilha1!$B$5:$B$15</c:f>
              <c:strCache>
                <c:ptCount val="11"/>
                <c:pt idx="0">
                  <c:v>AM</c:v>
                </c:pt>
                <c:pt idx="1">
                  <c:v>BA</c:v>
                </c:pt>
                <c:pt idx="2">
                  <c:v>CE</c:v>
                </c:pt>
                <c:pt idx="3">
                  <c:v>GO</c:v>
                </c:pt>
                <c:pt idx="4">
                  <c:v>MS</c:v>
                </c:pt>
                <c:pt idx="5">
                  <c:v>PE</c:v>
                </c:pt>
                <c:pt idx="6">
                  <c:v>PR</c:v>
                </c:pt>
                <c:pt idx="7">
                  <c:v>RN</c:v>
                </c:pt>
                <c:pt idx="8">
                  <c:v>RO</c:v>
                </c:pt>
                <c:pt idx="9">
                  <c:v>RS</c:v>
                </c:pt>
                <c:pt idx="10">
                  <c:v>SP</c:v>
                </c:pt>
              </c:strCache>
            </c:strRef>
          </c:cat>
          <c:val>
            <c:numRef>
              <c:f>Planilha1!$F$5:$F$15</c:f>
              <c:numCache>
                <c:formatCode>0.00</c:formatCode>
                <c:ptCount val="11"/>
                <c:pt idx="0">
                  <c:v>1.6240000000000001</c:v>
                </c:pt>
                <c:pt idx="1">
                  <c:v>1.4413333333333334</c:v>
                </c:pt>
                <c:pt idx="2">
                  <c:v>2.8617999999999997</c:v>
                </c:pt>
                <c:pt idx="3">
                  <c:v>3.6832000000000003</c:v>
                </c:pt>
                <c:pt idx="4">
                  <c:v>6.9725000000000001</c:v>
                </c:pt>
                <c:pt idx="5">
                  <c:v>#N/A</c:v>
                </c:pt>
                <c:pt idx="6">
                  <c:v>4.7802499999999997</c:v>
                </c:pt>
                <c:pt idx="7">
                  <c:v>1.2075</c:v>
                </c:pt>
                <c:pt idx="8">
                  <c:v>1.4305000000000001</c:v>
                </c:pt>
                <c:pt idx="9">
                  <c:v>2.2656666666666667</c:v>
                </c:pt>
                <c:pt idx="10">
                  <c:v>4.1468181818181824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948-4623-BC55-5C9A9BB56E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023816160"/>
        <c:axId val="1023818560"/>
      </c:barChart>
      <c:lineChart>
        <c:grouping val="standard"/>
        <c:varyColors val="0"/>
        <c:ser>
          <c:idx val="0"/>
          <c:order val="1"/>
          <c:tx>
            <c:v>Média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Planilha1!$E$5:$E$15</c:f>
              <c:numCache>
                <c:formatCode>0.00</c:formatCode>
                <c:ptCount val="11"/>
                <c:pt idx="0">
                  <c:v>3.647044444444445</c:v>
                </c:pt>
                <c:pt idx="1">
                  <c:v>3.647044444444445</c:v>
                </c:pt>
                <c:pt idx="2">
                  <c:v>3.647044444444445</c:v>
                </c:pt>
                <c:pt idx="3">
                  <c:v>3.647044444444445</c:v>
                </c:pt>
                <c:pt idx="4">
                  <c:v>3.647044444444445</c:v>
                </c:pt>
                <c:pt idx="5">
                  <c:v>3.647044444444445</c:v>
                </c:pt>
                <c:pt idx="6">
                  <c:v>3.647044444444445</c:v>
                </c:pt>
                <c:pt idx="7">
                  <c:v>3.647044444444445</c:v>
                </c:pt>
                <c:pt idx="8">
                  <c:v>3.647044444444445</c:v>
                </c:pt>
                <c:pt idx="9">
                  <c:v>3.647044444444445</c:v>
                </c:pt>
                <c:pt idx="10">
                  <c:v>3.647044444444445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E-0948-4623-BC55-5C9A9BB56E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023816160"/>
        <c:axId val="1023818560"/>
      </c:lineChart>
      <c:catAx>
        <c:axId val="102381616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023818560"/>
        <c:crosses val="autoZero"/>
        <c:auto val="1"/>
        <c:lblAlgn val="ctr"/>
        <c:lblOffset val="100"/>
        <c:noMultiLvlLbl val="0"/>
      </c:catAx>
      <c:valAx>
        <c:axId val="10238185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02381616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CheckBox" checked="Checked" fmlaLink="G5" lockText="1" noThreeD="1"/>
</file>

<file path=xl/ctrlProps/ctrlProp2.xml><?xml version="1.0" encoding="utf-8"?>
<formControlPr xmlns="http://schemas.microsoft.com/office/spreadsheetml/2009/9/main" objectType="CheckBox" checked="Checked" fmlaLink="G6" lockText="1" noThreeD="1"/>
</file>

<file path=xl/ctrlProps/ctrlProp3.xml><?xml version="1.0" encoding="utf-8"?>
<formControlPr xmlns="http://schemas.microsoft.com/office/spreadsheetml/2009/9/main" objectType="CheckBox" checked="Checked" fmlaLink="G7" lockText="1" noThreeD="1"/>
</file>

<file path=xl/ctrlProps/ctrlProp4.xml><?xml version="1.0" encoding="utf-8"?>
<formControlPr xmlns="http://schemas.microsoft.com/office/spreadsheetml/2009/9/main" objectType="CheckBox" checked="Checked" fmlaLink="G8" lockText="1" noThreeD="1"/>
</file>

<file path=xl/ctrlProps/ctrlProp5.xml><?xml version="1.0" encoding="utf-8"?>
<formControlPr xmlns="http://schemas.microsoft.com/office/spreadsheetml/2009/9/main" objectType="CheckBox" checked="Checked" fmlaLink="G9" lockText="1" noThreeD="1"/>
</file>

<file path=xl/ctrlProps/ctrlProp6.xml><?xml version="1.0" encoding="utf-8"?>
<formControlPr xmlns="http://schemas.microsoft.com/office/spreadsheetml/2009/9/main" objectType="CheckBox" checked="Checked" fmlaLink="G10" lockText="1" noThreeD="1"/>
</file>

<file path=xl/ctrlProps/ctrlProp7.xml><?xml version="1.0" encoding="utf-8"?>
<formControlPr xmlns="http://schemas.microsoft.com/office/spreadsheetml/2009/9/main" objectType="CheckBox" checked="Checked" fmlaLink="G11" lockText="1" noThreeD="1"/>
</file>

<file path=xl/ctrlProps/ctrlProp8.xml><?xml version="1.0" encoding="utf-8"?>
<formControlPr xmlns="http://schemas.microsoft.com/office/spreadsheetml/2009/9/main" objectType="CheckBox" checked="Checked" fmlaLink="G12" lockText="1" noThreeD="1"/>
</file>

<file path=xl/ctrlProps/ctrlProp9.xml><?xml version="1.0" encoding="utf-8"?>
<formControlPr xmlns="http://schemas.microsoft.com/office/spreadsheetml/2009/9/main" objectType="CheckBox" checked="Checked" fmlaLink="G13" lockText="1" noThreeD="1"/>
</file>

<file path=xl/ctrlProps/ctrlProp10.xml><?xml version="1.0" encoding="utf-8"?>
<formControlPr xmlns="http://schemas.microsoft.com/office/spreadsheetml/2009/9/main" objectType="CheckBox" checked="Checked" fmlaLink="G14" lockText="1" noThreeD="1"/>
</file>

<file path=xl/ctrlProps/ctrlProp11.xml><?xml version="1.0" encoding="utf-8"?>
<formControlPr xmlns="http://schemas.microsoft.com/office/spreadsheetml/2009/9/main" objectType="CheckBox" checked="Checked" fmlaLink="G15" lockText="1" noThreeD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123826</xdr:colOff>
      <xdr:row>0</xdr:row>
      <xdr:rowOff>104774</xdr:rowOff>
    </xdr:from>
    <xdr:to>
      <xdr:col>0</xdr:col>
      <xdr:colOff>581025</xdr:colOff>
      <xdr:row>2</xdr:row>
      <xdr:rowOff>104775</xdr:rowOff>
    </xdr:to>
    <xdr:sp macro="" textlink="">
      <xdr:nvSpPr>
        <xdr:cNvPr id="2" name="Pentágono 1">
          <a:extLst>
            <a:ext uri="{FF2B5EF4-FFF2-40B4-BE49-F238E27FC236}">
              <a16:creationId xmlns:a16="http://schemas.microsoft.com/office/drawing/2014/main" id="{D025F56B-85E6-F8E7-F35F-CB0610EE808E}"/>
            </a:ext>
          </a:extLst>
        </xdr:cNvPr>
        <xdr:cNvSpPr/>
      </xdr:nvSpPr>
      <xdr:spPr>
        <a:xfrm>
          <a:off x="123826" y="104774"/>
          <a:ext cx="457199" cy="476251"/>
        </a:xfrm>
        <a:prstGeom prst="pentagon">
          <a:avLst/>
        </a:prstGeom>
        <a:noFill/>
        <a:ln>
          <a:solidFill>
            <a:schemeClr val="bg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 b="1">
              <a:latin typeface="Times New Roman" panose="02020603050405020304" pitchFamily="18" charset="0"/>
              <a:cs typeface="Times New Roman" panose="02020603050405020304" pitchFamily="18" charset="0"/>
            </a:rPr>
            <a:t>W</a:t>
          </a:r>
        </a:p>
      </xdr:txBody>
    </xdr:sp>
    <xdr:clientData/>
  </xdr:twoCellAnchor>
  <xdr:oneCellAnchor>
    <xdr:from>
      <xdr:col>12</xdr:col>
      <xdr:colOff>285750</xdr:colOff>
      <xdr:row>16</xdr:row>
      <xdr:rowOff>0</xdr:rowOff>
    </xdr:from>
    <xdr:ext cx="184731" cy="264560"/>
    <xdr:sp macro="" textlink="">
      <xdr:nvSpPr>
        <xdr:cNvPr id="4" name="CaixaDeTexto 3">
          <a:extLst>
            <a:ext uri="{FF2B5EF4-FFF2-40B4-BE49-F238E27FC236}">
              <a16:creationId xmlns:a16="http://schemas.microsoft.com/office/drawing/2014/main" id="{AC9EA499-750A-6CE6-65DF-28279CD3FFAF}"/>
            </a:ext>
          </a:extLst>
        </xdr:cNvPr>
        <xdr:cNvSpPr txBox="1"/>
      </xdr:nvSpPr>
      <xdr:spPr>
        <a:xfrm>
          <a:off x="6381750" y="352425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pt-BR" sz="1100"/>
        </a:p>
      </xdr:txBody>
    </xdr:sp>
    <xdr:clientData/>
  </xdr:oneCellAnchor>
  <xdr:twoCellAnchor>
    <xdr:from>
      <xdr:col>7</xdr:col>
      <xdr:colOff>52387</xdr:colOff>
      <xdr:row>3</xdr:row>
      <xdr:rowOff>28574</xdr:rowOff>
    </xdr:from>
    <xdr:to>
      <xdr:col>17</xdr:col>
      <xdr:colOff>409575</xdr:colOff>
      <xdr:row>14</xdr:row>
      <xdr:rowOff>333374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D9C241B9-ED9E-E162-1FBC-2131987FC3A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38100</xdr:colOff>
          <xdr:row>4</xdr:row>
          <xdr:rowOff>28575</xdr:rowOff>
        </xdr:from>
        <xdr:to>
          <xdr:col>6</xdr:col>
          <xdr:colOff>342900</xdr:colOff>
          <xdr:row>4</xdr:row>
          <xdr:rowOff>295275</xdr:rowOff>
        </xdr:to>
        <xdr:sp macro="" textlink="">
          <xdr:nvSpPr>
            <xdr:cNvPr id="1028" name="Check Box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38100</xdr:colOff>
          <xdr:row>5</xdr:row>
          <xdr:rowOff>28575</xdr:rowOff>
        </xdr:from>
        <xdr:to>
          <xdr:col>6</xdr:col>
          <xdr:colOff>342900</xdr:colOff>
          <xdr:row>5</xdr:row>
          <xdr:rowOff>295275</xdr:rowOff>
        </xdr:to>
        <xdr:sp macro="" textlink="">
          <xdr:nvSpPr>
            <xdr:cNvPr id="1029" name="Check Box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38100</xdr:colOff>
          <xdr:row>6</xdr:row>
          <xdr:rowOff>28575</xdr:rowOff>
        </xdr:from>
        <xdr:to>
          <xdr:col>6</xdr:col>
          <xdr:colOff>342900</xdr:colOff>
          <xdr:row>6</xdr:row>
          <xdr:rowOff>295275</xdr:rowOff>
        </xdr:to>
        <xdr:sp macro="" textlink="">
          <xdr:nvSpPr>
            <xdr:cNvPr id="1030" name="Check Box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38100</xdr:colOff>
          <xdr:row>7</xdr:row>
          <xdr:rowOff>28575</xdr:rowOff>
        </xdr:from>
        <xdr:to>
          <xdr:col>6</xdr:col>
          <xdr:colOff>342900</xdr:colOff>
          <xdr:row>7</xdr:row>
          <xdr:rowOff>295275</xdr:rowOff>
        </xdr:to>
        <xdr:sp macro="" textlink="">
          <xdr:nvSpPr>
            <xdr:cNvPr id="1031" name="Check Box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38100</xdr:colOff>
          <xdr:row>8</xdr:row>
          <xdr:rowOff>28575</xdr:rowOff>
        </xdr:from>
        <xdr:to>
          <xdr:col>6</xdr:col>
          <xdr:colOff>342900</xdr:colOff>
          <xdr:row>8</xdr:row>
          <xdr:rowOff>295275</xdr:rowOff>
        </xdr:to>
        <xdr:sp macro="" textlink="">
          <xdr:nvSpPr>
            <xdr:cNvPr id="1032" name="Check Box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38100</xdr:colOff>
          <xdr:row>9</xdr:row>
          <xdr:rowOff>28575</xdr:rowOff>
        </xdr:from>
        <xdr:to>
          <xdr:col>6</xdr:col>
          <xdr:colOff>342900</xdr:colOff>
          <xdr:row>9</xdr:row>
          <xdr:rowOff>295275</xdr:rowOff>
        </xdr:to>
        <xdr:sp macro="" textlink="">
          <xdr:nvSpPr>
            <xdr:cNvPr id="1033" name="Check Box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38100</xdr:colOff>
          <xdr:row>10</xdr:row>
          <xdr:rowOff>28575</xdr:rowOff>
        </xdr:from>
        <xdr:to>
          <xdr:col>6</xdr:col>
          <xdr:colOff>342900</xdr:colOff>
          <xdr:row>10</xdr:row>
          <xdr:rowOff>295275</xdr:rowOff>
        </xdr:to>
        <xdr:sp macro="" textlink="">
          <xdr:nvSpPr>
            <xdr:cNvPr id="1034" name="Check Box 10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38100</xdr:colOff>
          <xdr:row>11</xdr:row>
          <xdr:rowOff>28575</xdr:rowOff>
        </xdr:from>
        <xdr:to>
          <xdr:col>6</xdr:col>
          <xdr:colOff>342900</xdr:colOff>
          <xdr:row>11</xdr:row>
          <xdr:rowOff>295275</xdr:rowOff>
        </xdr:to>
        <xdr:sp macro="" textlink="">
          <xdr:nvSpPr>
            <xdr:cNvPr id="1035" name="Check Box 11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38100</xdr:colOff>
          <xdr:row>12</xdr:row>
          <xdr:rowOff>28575</xdr:rowOff>
        </xdr:from>
        <xdr:to>
          <xdr:col>6</xdr:col>
          <xdr:colOff>342900</xdr:colOff>
          <xdr:row>12</xdr:row>
          <xdr:rowOff>295275</xdr:rowOff>
        </xdr:to>
        <xdr:sp macro="" textlink="">
          <xdr:nvSpPr>
            <xdr:cNvPr id="1036" name="Check Box 12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:a16="http://schemas.microsoft.com/office/drawing/2014/main" id="{00000000-0008-0000-0000-00000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38100</xdr:colOff>
          <xdr:row>13</xdr:row>
          <xdr:rowOff>28575</xdr:rowOff>
        </xdr:from>
        <xdr:to>
          <xdr:col>6</xdr:col>
          <xdr:colOff>342900</xdr:colOff>
          <xdr:row>13</xdr:row>
          <xdr:rowOff>295275</xdr:rowOff>
        </xdr:to>
        <xdr:sp macro="" textlink="">
          <xdr:nvSpPr>
            <xdr:cNvPr id="1037" name="Check Box 13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0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38100</xdr:colOff>
          <xdr:row>14</xdr:row>
          <xdr:rowOff>28575</xdr:rowOff>
        </xdr:from>
        <xdr:to>
          <xdr:col>6</xdr:col>
          <xdr:colOff>342900</xdr:colOff>
          <xdr:row>14</xdr:row>
          <xdr:rowOff>295275</xdr:rowOff>
        </xdr:to>
        <xdr:sp macro="" textlink="">
          <xdr:nvSpPr>
            <xdr:cNvPr id="1038" name="Check Box 14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:a16="http://schemas.microsoft.com/office/drawing/2014/main" id="{00000000-0008-0000-0000-00000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6FA5807B-55C4-44F2-8AD3-ABE00C59D236}" name="Tabela1" displayName="Tabela1" ref="B4:G15" totalsRowShown="0" headerRowDxfId="6">
  <autoFilter ref="B4:G15" xr:uid="{6FA5807B-55C4-44F2-8AD3-ABE00C59D236}"/>
  <tableColumns count="6">
    <tableColumn id="1" xr3:uid="{F20A04B2-E846-4631-B027-E11383DE7250}" name="Estados " dataDxfId="5"/>
    <tableColumn id="2" xr3:uid="{996BA97A-E984-4CCA-8E3D-358479D47A4D}" name="Potência" dataDxfId="4" dataCellStyle="Moeda"/>
    <tableColumn id="3" xr3:uid="{D0C0D40E-9E6A-4291-A9F5-FB641BCD3A35}" name="Funcionário" dataDxfId="3"/>
    <tableColumn id="6" xr3:uid="{7BD132AD-BCF6-4BFC-AEA4-C5A32B4F106A}" name="Média Valores" dataDxfId="2">
      <calculatedColumnFormula>IFERROR(
    SUMIFS(Tabela1[Potência], Tabela1[Rev.], TRUE) /
    SUMIFS(Tabela1[Funcionário], Tabela1[Rev.], TRUE),
    0
)</calculatedColumnFormula>
    </tableColumn>
    <tableColumn id="5" xr3:uid="{0CDA1C30-33E6-4994-A9EA-095660232F5F}" name="Valor Gráfico" dataDxfId="1">
      <calculatedColumnFormula>IFERROR(IF(Tabela1[[#This Row],[Rev.]]=FALSE, NA(), Tabela1[[#This Row],[Potência]]/Tabela1[[#This Row],[Funcionário]]), NA())</calculatedColumnFormula>
    </tableColumn>
    <tableColumn id="4" xr3:uid="{B717EAA1-8C84-46F5-8A71-D985D732A5E8}" name="Rev." dataDxfId="0"/>
  </tableColumns>
  <tableStyleInfo name="TableStyleLight9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6.xml"/><Relationship Id="rId13" Type="http://schemas.openxmlformats.org/officeDocument/2006/relationships/ctrlProp" Target="../ctrlProps/ctrlProp11.xml"/><Relationship Id="rId3" Type="http://schemas.openxmlformats.org/officeDocument/2006/relationships/ctrlProp" Target="../ctrlProps/ctrlProp1.xml"/><Relationship Id="rId7" Type="http://schemas.openxmlformats.org/officeDocument/2006/relationships/ctrlProp" Target="../ctrlProps/ctrlProp5.xml"/><Relationship Id="rId12" Type="http://schemas.openxmlformats.org/officeDocument/2006/relationships/ctrlProp" Target="../ctrlProps/ctrlProp10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6" Type="http://schemas.openxmlformats.org/officeDocument/2006/relationships/ctrlProp" Target="../ctrlProps/ctrlProp4.xml"/><Relationship Id="rId11" Type="http://schemas.openxmlformats.org/officeDocument/2006/relationships/ctrlProp" Target="../ctrlProps/ctrlProp9.xml"/><Relationship Id="rId5" Type="http://schemas.openxmlformats.org/officeDocument/2006/relationships/ctrlProp" Target="../ctrlProps/ctrlProp3.xml"/><Relationship Id="rId10" Type="http://schemas.openxmlformats.org/officeDocument/2006/relationships/ctrlProp" Target="../ctrlProps/ctrlProp8.xml"/><Relationship Id="rId4" Type="http://schemas.openxmlformats.org/officeDocument/2006/relationships/ctrlProp" Target="../ctrlProps/ctrlProp2.xml"/><Relationship Id="rId9" Type="http://schemas.openxmlformats.org/officeDocument/2006/relationships/ctrlProp" Target="../ctrlProps/ctrlProp7.xml"/><Relationship Id="rId14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49BB24-A13C-478C-993F-C9EF82DFE21B}">
  <sheetPr codeName="Planilha1"/>
  <dimension ref="A1:R31"/>
  <sheetViews>
    <sheetView tabSelected="1" workbookViewId="0">
      <selection activeCell="D7" sqref="D7"/>
    </sheetView>
  </sheetViews>
  <sheetFormatPr defaultColWidth="0" defaultRowHeight="15" zeroHeight="1" x14ac:dyDescent="0.25"/>
  <cols>
    <col min="1" max="1" width="10.7109375" customWidth="1"/>
    <col min="2" max="3" width="13.5703125" bestFit="1" customWidth="1"/>
    <col min="4" max="5" width="16.5703125" customWidth="1"/>
    <col min="6" max="6" width="12.28515625" customWidth="1"/>
    <col min="7" max="7" width="5.85546875" customWidth="1"/>
    <col min="8" max="18" width="9.140625" customWidth="1"/>
    <col min="19" max="16384" width="9.140625" hidden="1"/>
  </cols>
  <sheetData>
    <row r="1" spans="1:18" ht="18.75" x14ac:dyDescent="0.25">
      <c r="A1" s="2"/>
      <c r="B1" s="16" t="s">
        <v>0</v>
      </c>
      <c r="C1" s="16"/>
      <c r="D1" s="16"/>
      <c r="E1" s="6"/>
      <c r="F1" s="6"/>
      <c r="G1" s="2"/>
      <c r="H1" s="2"/>
      <c r="I1" s="2"/>
      <c r="J1" s="2"/>
      <c r="K1" s="2"/>
      <c r="L1" s="2"/>
      <c r="M1" s="2"/>
      <c r="N1" s="1"/>
      <c r="O1" s="1"/>
      <c r="P1" s="1"/>
      <c r="Q1" s="1"/>
      <c r="R1" s="1"/>
    </row>
    <row r="2" spans="1:18" ht="18.75" x14ac:dyDescent="0.25">
      <c r="A2" s="2"/>
      <c r="B2" s="16"/>
      <c r="C2" s="16"/>
      <c r="D2" s="16"/>
      <c r="E2" s="6"/>
      <c r="F2" s="6"/>
      <c r="G2" s="2"/>
      <c r="H2" s="2"/>
      <c r="I2" s="2"/>
      <c r="J2" s="2"/>
      <c r="K2" s="2"/>
      <c r="L2" s="2"/>
      <c r="M2" s="2"/>
      <c r="N2" s="1"/>
      <c r="O2" s="1"/>
      <c r="P2" s="1"/>
      <c r="Q2" s="1"/>
      <c r="R2" s="1"/>
    </row>
    <row r="3" spans="1:18" ht="18.75" x14ac:dyDescent="0.25">
      <c r="A3" s="2"/>
      <c r="B3" s="16"/>
      <c r="C3" s="16"/>
      <c r="D3" s="16"/>
      <c r="E3" s="6"/>
      <c r="F3" s="6"/>
      <c r="G3" s="2"/>
      <c r="H3" s="2"/>
      <c r="I3" s="2"/>
      <c r="J3" s="2"/>
      <c r="K3" s="2"/>
      <c r="L3" s="2"/>
      <c r="M3" s="2"/>
      <c r="N3" s="1"/>
      <c r="O3" s="1"/>
      <c r="P3" s="1"/>
      <c r="Q3" s="1"/>
      <c r="R3" s="1"/>
    </row>
    <row r="4" spans="1:18" ht="26.25" customHeight="1" x14ac:dyDescent="0.25">
      <c r="A4" s="4"/>
      <c r="B4" s="3" t="s">
        <v>1</v>
      </c>
      <c r="C4" s="3" t="s">
        <v>14</v>
      </c>
      <c r="D4" s="3" t="s">
        <v>2</v>
      </c>
      <c r="E4" s="3" t="s">
        <v>17</v>
      </c>
      <c r="F4" s="3" t="s">
        <v>15</v>
      </c>
      <c r="G4" s="3" t="s">
        <v>16</v>
      </c>
      <c r="H4" s="4"/>
      <c r="I4" s="4"/>
      <c r="J4" s="4"/>
      <c r="K4" s="4"/>
      <c r="L4" s="4"/>
      <c r="M4" s="4"/>
      <c r="N4" s="4"/>
      <c r="O4" s="4"/>
      <c r="P4" s="4"/>
      <c r="Q4" s="4"/>
      <c r="R4" s="4"/>
    </row>
    <row r="5" spans="1:18" ht="26.25" customHeight="1" x14ac:dyDescent="0.25">
      <c r="A5" s="4"/>
      <c r="B5" s="3" t="s">
        <v>3</v>
      </c>
      <c r="C5" s="8">
        <v>3.2480000000000002</v>
      </c>
      <c r="D5" s="3">
        <v>2</v>
      </c>
      <c r="E5" s="7">
        <f>IFERROR(
    SUMIFS(Tabela1[Potência], Tabela1[Rev.], TRUE) /
    SUMIFS(Tabela1[Funcionário], Tabela1[Rev.], TRUE),
    0
)</f>
        <v>3.647044444444445</v>
      </c>
      <c r="F5" s="7">
        <f>IFERROR(IF(Tabela1[[#This Row],[Rev.]]=FALSE, NA(), Tabela1[[#This Row],[Potência]]/Tabela1[[#This Row],[Funcionário]]), NA())</f>
        <v>1.6240000000000001</v>
      </c>
      <c r="G5" s="10" t="b">
        <v>1</v>
      </c>
      <c r="H5" s="9"/>
      <c r="I5" s="4"/>
      <c r="J5" s="4"/>
      <c r="K5" s="4"/>
      <c r="L5" s="5"/>
      <c r="M5" s="4"/>
      <c r="N5" s="4"/>
      <c r="O5" s="4"/>
      <c r="P5" s="4"/>
      <c r="Q5" s="4"/>
      <c r="R5" s="4"/>
    </row>
    <row r="6" spans="1:18" ht="26.25" customHeight="1" x14ac:dyDescent="0.25">
      <c r="A6" s="4"/>
      <c r="B6" s="3" t="s">
        <v>4</v>
      </c>
      <c r="C6" s="8">
        <v>4.3239999999999998</v>
      </c>
      <c r="D6" s="3">
        <v>3</v>
      </c>
      <c r="E6" s="7">
        <f>IFERROR(
    SUMIFS(Tabela1[Potência], Tabela1[Rev.], TRUE) /
    SUMIFS(Tabela1[Funcionário], Tabela1[Rev.], TRUE),
    0
)</f>
        <v>3.647044444444445</v>
      </c>
      <c r="F6" s="7">
        <f>IFERROR(IF(Tabela1[[#This Row],[Rev.]]=FALSE, NA(), Tabela1[[#This Row],[Potência]]/Tabela1[[#This Row],[Funcionário]]), NA())</f>
        <v>1.4413333333333334</v>
      </c>
      <c r="G6" s="10" t="b">
        <v>1</v>
      </c>
      <c r="H6" s="9"/>
      <c r="I6" s="4"/>
      <c r="J6" s="4"/>
      <c r="K6" s="4"/>
      <c r="L6" s="4"/>
      <c r="M6" s="4"/>
      <c r="N6" s="4"/>
      <c r="O6" s="4"/>
      <c r="P6" s="4"/>
      <c r="Q6" s="4"/>
      <c r="R6" s="4"/>
    </row>
    <row r="7" spans="1:18" ht="26.25" customHeight="1" x14ac:dyDescent="0.25">
      <c r="A7" s="4"/>
      <c r="B7" s="3" t="s">
        <v>5</v>
      </c>
      <c r="C7" s="8">
        <v>14.308999999999999</v>
      </c>
      <c r="D7" s="3">
        <v>5</v>
      </c>
      <c r="E7" s="7">
        <f>IFERROR(
    SUMIFS(Tabela1[Potência], Tabela1[Rev.], TRUE) /
    SUMIFS(Tabela1[Funcionário], Tabela1[Rev.], TRUE),
    0
)</f>
        <v>3.647044444444445</v>
      </c>
      <c r="F7" s="7">
        <f>IFERROR(IF(Tabela1[[#This Row],[Rev.]]=FALSE, NA(), Tabela1[[#This Row],[Potência]]/Tabela1[[#This Row],[Funcionário]]), NA())</f>
        <v>2.8617999999999997</v>
      </c>
      <c r="G7" s="10" t="b">
        <v>1</v>
      </c>
      <c r="H7" s="9"/>
      <c r="I7" s="4"/>
      <c r="J7" s="4"/>
      <c r="K7" s="4"/>
      <c r="L7" s="4"/>
      <c r="M7" s="4"/>
      <c r="N7" s="4"/>
      <c r="O7" s="4"/>
      <c r="P7" s="4"/>
      <c r="Q7" s="4"/>
      <c r="R7" s="4"/>
    </row>
    <row r="8" spans="1:18" ht="26.25" customHeight="1" x14ac:dyDescent="0.25">
      <c r="A8" s="4"/>
      <c r="B8" s="3" t="s">
        <v>6</v>
      </c>
      <c r="C8" s="8">
        <v>18.416</v>
      </c>
      <c r="D8" s="3">
        <v>5</v>
      </c>
      <c r="E8" s="7">
        <f>IFERROR(
    SUMIFS(Tabela1[Potência], Tabela1[Rev.], TRUE) /
    SUMIFS(Tabela1[Funcionário], Tabela1[Rev.], TRUE),
    0
)</f>
        <v>3.647044444444445</v>
      </c>
      <c r="F8" s="7">
        <f>IFERROR(IF(Tabela1[[#This Row],[Rev.]]=FALSE, NA(), Tabela1[[#This Row],[Potência]]/Tabela1[[#This Row],[Funcionário]]), NA())</f>
        <v>3.6832000000000003</v>
      </c>
      <c r="G8" s="10" t="b">
        <v>1</v>
      </c>
      <c r="H8" s="9"/>
      <c r="I8" s="4"/>
      <c r="J8" s="4"/>
      <c r="K8" s="4"/>
      <c r="L8" s="4"/>
      <c r="M8" s="4"/>
      <c r="N8" s="4"/>
      <c r="O8" s="4"/>
      <c r="P8" s="4"/>
      <c r="Q8" s="4"/>
      <c r="R8" s="4"/>
    </row>
    <row r="9" spans="1:18" ht="26.25" customHeight="1" x14ac:dyDescent="0.25">
      <c r="A9" s="4"/>
      <c r="B9" s="3" t="s">
        <v>7</v>
      </c>
      <c r="C9" s="8">
        <v>27.89</v>
      </c>
      <c r="D9" s="3">
        <v>4</v>
      </c>
      <c r="E9" s="7">
        <f>IFERROR(
    SUMIFS(Tabela1[Potência], Tabela1[Rev.], TRUE) /
    SUMIFS(Tabela1[Funcionário], Tabela1[Rev.], TRUE),
    0
)</f>
        <v>3.647044444444445</v>
      </c>
      <c r="F9" s="7">
        <f>IFERROR(IF(Tabela1[[#This Row],[Rev.]]=FALSE, NA(), Tabela1[[#This Row],[Potência]]/Tabela1[[#This Row],[Funcionário]]), NA())</f>
        <v>6.9725000000000001</v>
      </c>
      <c r="G9" s="10" t="b">
        <v>1</v>
      </c>
      <c r="H9" s="9"/>
      <c r="I9" s="4"/>
      <c r="J9" s="4"/>
      <c r="K9" s="4"/>
      <c r="L9" s="4"/>
      <c r="M9" s="4"/>
      <c r="N9" s="4"/>
      <c r="O9" s="4"/>
      <c r="P9" s="4"/>
      <c r="Q9" s="4"/>
      <c r="R9" s="4"/>
    </row>
    <row r="10" spans="1:18" ht="26.25" customHeight="1" x14ac:dyDescent="0.25">
      <c r="A10" s="4"/>
      <c r="B10" s="3" t="s">
        <v>8</v>
      </c>
      <c r="C10" s="8">
        <v>0</v>
      </c>
      <c r="D10" s="3">
        <v>0</v>
      </c>
      <c r="E10" s="7">
        <f>IFERROR(
    SUMIFS(Tabela1[Potência], Tabela1[Rev.], TRUE) /
    SUMIFS(Tabela1[Funcionário], Tabela1[Rev.], TRUE),
    0
)</f>
        <v>3.647044444444445</v>
      </c>
      <c r="F10" s="7" t="e">
        <f>IFERROR(IF(Tabela1[[#This Row],[Rev.]]=FALSE, NA(), Tabela1[[#This Row],[Potência]]/Tabela1[[#This Row],[Funcionário]]), NA())</f>
        <v>#N/A</v>
      </c>
      <c r="G10" s="10" t="b">
        <v>1</v>
      </c>
      <c r="H10" s="9"/>
      <c r="I10" s="4"/>
      <c r="J10" s="4"/>
      <c r="K10" s="4"/>
      <c r="L10" s="4"/>
      <c r="M10" s="4"/>
      <c r="N10" s="4"/>
      <c r="O10" s="4"/>
      <c r="P10" s="4"/>
      <c r="Q10" s="4"/>
      <c r="R10" s="4"/>
    </row>
    <row r="11" spans="1:18" ht="26.25" customHeight="1" x14ac:dyDescent="0.25">
      <c r="A11" s="4"/>
      <c r="B11" s="3" t="s">
        <v>9</v>
      </c>
      <c r="C11" s="8">
        <v>38.241999999999997</v>
      </c>
      <c r="D11" s="3">
        <v>8</v>
      </c>
      <c r="E11" s="7">
        <f>IFERROR(
    SUMIFS(Tabela1[Potência], Tabela1[Rev.], TRUE) /
    SUMIFS(Tabela1[Funcionário], Tabela1[Rev.], TRUE),
    0
)</f>
        <v>3.647044444444445</v>
      </c>
      <c r="F11" s="7">
        <f>IFERROR(IF(Tabela1[[#This Row],[Rev.]]=FALSE, NA(), Tabela1[[#This Row],[Potência]]/Tabela1[[#This Row],[Funcionário]]), NA())</f>
        <v>4.7802499999999997</v>
      </c>
      <c r="G11" s="10" t="b">
        <v>1</v>
      </c>
      <c r="H11" s="9"/>
      <c r="I11" s="4"/>
      <c r="J11" s="4"/>
      <c r="K11" s="4"/>
      <c r="L11" s="4"/>
      <c r="M11" s="4"/>
      <c r="N11" s="4"/>
      <c r="O11" s="4"/>
      <c r="P11" s="4"/>
      <c r="Q11" s="4"/>
      <c r="R11" s="4"/>
    </row>
    <row r="12" spans="1:18" ht="26.25" customHeight="1" x14ac:dyDescent="0.25">
      <c r="A12" s="4"/>
      <c r="B12" s="3" t="s">
        <v>10</v>
      </c>
      <c r="C12" s="8">
        <v>2.415</v>
      </c>
      <c r="D12" s="3">
        <v>2</v>
      </c>
      <c r="E12" s="7">
        <f>IFERROR(
    SUMIFS(Tabela1[Potência], Tabela1[Rev.], TRUE) /
    SUMIFS(Tabela1[Funcionário], Tabela1[Rev.], TRUE),
    0
)</f>
        <v>3.647044444444445</v>
      </c>
      <c r="F12" s="7">
        <f>IFERROR(IF(Tabela1[[#This Row],[Rev.]]=FALSE, NA(), Tabela1[[#This Row],[Potência]]/Tabela1[[#This Row],[Funcionário]]), NA())</f>
        <v>1.2075</v>
      </c>
      <c r="G12" s="10" t="b">
        <v>1</v>
      </c>
      <c r="H12" s="9"/>
      <c r="I12" s="4"/>
      <c r="J12" s="4"/>
      <c r="K12" s="4"/>
      <c r="L12" s="4"/>
      <c r="M12" s="4"/>
      <c r="N12" s="4"/>
      <c r="O12" s="4"/>
      <c r="P12" s="4"/>
      <c r="Q12" s="4"/>
      <c r="R12" s="4"/>
    </row>
    <row r="13" spans="1:18" ht="26.25" customHeight="1" x14ac:dyDescent="0.25">
      <c r="A13" s="4"/>
      <c r="B13" s="3" t="s">
        <v>11</v>
      </c>
      <c r="C13" s="8">
        <v>2.8610000000000002</v>
      </c>
      <c r="D13" s="3">
        <v>2</v>
      </c>
      <c r="E13" s="7">
        <f>IFERROR(
    SUMIFS(Tabela1[Potência], Tabela1[Rev.], TRUE) /
    SUMIFS(Tabela1[Funcionário], Tabela1[Rev.], TRUE),
    0
)</f>
        <v>3.647044444444445</v>
      </c>
      <c r="F13" s="7">
        <f>IFERROR(IF(Tabela1[[#This Row],[Rev.]]=FALSE, NA(), Tabela1[[#This Row],[Potência]]/Tabela1[[#This Row],[Funcionário]]), NA())</f>
        <v>1.4305000000000001</v>
      </c>
      <c r="G13" s="10" t="b">
        <v>1</v>
      </c>
      <c r="H13" s="9"/>
      <c r="I13" s="4"/>
      <c r="J13" s="4"/>
      <c r="K13" s="4"/>
      <c r="L13" s="4"/>
      <c r="M13" s="4"/>
      <c r="N13" s="4"/>
      <c r="O13" s="4"/>
      <c r="P13" s="4"/>
      <c r="Q13" s="4"/>
      <c r="R13" s="4"/>
    </row>
    <row r="14" spans="1:18" ht="26.25" customHeight="1" x14ac:dyDescent="0.25">
      <c r="A14" s="4"/>
      <c r="B14" s="3" t="s">
        <v>12</v>
      </c>
      <c r="C14" s="8">
        <v>6.7969999999999997</v>
      </c>
      <c r="D14" s="3">
        <v>3</v>
      </c>
      <c r="E14" s="7">
        <f>IFERROR(
    SUMIFS(Tabela1[Potência], Tabela1[Rev.], TRUE) /
    SUMIFS(Tabela1[Funcionário], Tabela1[Rev.], TRUE),
    0
)</f>
        <v>3.647044444444445</v>
      </c>
      <c r="F14" s="7">
        <f>IFERROR(IF(Tabela1[[#This Row],[Rev.]]=FALSE, NA(), Tabela1[[#This Row],[Potência]]/Tabela1[[#This Row],[Funcionário]]), NA())</f>
        <v>2.2656666666666667</v>
      </c>
      <c r="G14" s="10" t="b">
        <v>1</v>
      </c>
      <c r="H14" s="9"/>
      <c r="I14" s="4"/>
      <c r="J14" s="4"/>
      <c r="K14" s="4"/>
      <c r="L14" s="4"/>
      <c r="M14" s="4"/>
      <c r="N14" s="4"/>
      <c r="O14" s="4"/>
      <c r="P14" s="4"/>
      <c r="Q14" s="4"/>
      <c r="R14" s="4"/>
    </row>
    <row r="15" spans="1:18" ht="26.25" customHeight="1" x14ac:dyDescent="0.25">
      <c r="A15" s="4"/>
      <c r="B15" s="3" t="s">
        <v>13</v>
      </c>
      <c r="C15" s="8">
        <v>45.615000000000002</v>
      </c>
      <c r="D15" s="3">
        <v>11</v>
      </c>
      <c r="E15" s="7">
        <f>IFERROR(
    SUMIFS(Tabela1[Potência], Tabela1[Rev.], TRUE) /
    SUMIFS(Tabela1[Funcionário], Tabela1[Rev.], TRUE),
    0
)</f>
        <v>3.647044444444445</v>
      </c>
      <c r="F15" s="7">
        <f>IFERROR(IF(Tabela1[[#This Row],[Rev.]]=FALSE, NA(), Tabela1[[#This Row],[Potência]]/Tabela1[[#This Row],[Funcionário]]), NA())</f>
        <v>4.1468181818181824</v>
      </c>
      <c r="G15" s="10" t="b">
        <v>1</v>
      </c>
      <c r="H15" s="9"/>
      <c r="I15" s="4"/>
      <c r="J15" s="4"/>
      <c r="K15" s="4"/>
      <c r="L15" s="4"/>
      <c r="M15" s="4"/>
      <c r="N15" s="4"/>
      <c r="O15" s="4"/>
      <c r="P15" s="4"/>
      <c r="Q15" s="4"/>
      <c r="R15" s="4"/>
    </row>
    <row r="16" spans="1:18" ht="26.25" customHeight="1" x14ac:dyDescent="0.25">
      <c r="A16" s="4"/>
      <c r="B16" s="11"/>
      <c r="C16" s="12"/>
      <c r="D16" s="14"/>
      <c r="E16" s="14"/>
      <c r="F16" s="15"/>
      <c r="G16" s="13"/>
      <c r="H16" s="9"/>
      <c r="I16" s="4"/>
      <c r="J16" s="4"/>
      <c r="K16" s="4"/>
      <c r="L16" s="4"/>
      <c r="M16" s="4"/>
      <c r="N16" s="4"/>
      <c r="O16" s="4"/>
      <c r="P16" s="4"/>
      <c r="Q16" s="4"/>
      <c r="R16" s="4"/>
    </row>
    <row r="31" spans="7:7" hidden="1" x14ac:dyDescent="0.25">
      <c r="G31" t="b">
        <v>1</v>
      </c>
    </row>
  </sheetData>
  <mergeCells count="1">
    <mergeCell ref="B1:D3"/>
  </mergeCells>
  <conditionalFormatting sqref="F5:F16">
    <cfRule type="containsErrors" dxfId="7" priority="3">
      <formula>ISERROR(F5)</formula>
    </cfRule>
  </conditionalFormatting>
  <pageMargins left="0.511811024" right="0.511811024" top="0.78740157499999996" bottom="0.78740157499999996" header="0.31496062000000002" footer="0.3149606200000000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8" r:id="rId3" name="Check Box 4">
              <controlPr defaultSize="0" autoFill="0" autoLine="0" autoPict="0">
                <anchor moveWithCells="1">
                  <from>
                    <xdr:col>6</xdr:col>
                    <xdr:colOff>38100</xdr:colOff>
                    <xdr:row>4</xdr:row>
                    <xdr:rowOff>28575</xdr:rowOff>
                  </from>
                  <to>
                    <xdr:col>6</xdr:col>
                    <xdr:colOff>342900</xdr:colOff>
                    <xdr:row>4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4" name="Check Box 5">
              <controlPr defaultSize="0" autoFill="0" autoLine="0" autoPict="0">
                <anchor moveWithCells="1">
                  <from>
                    <xdr:col>6</xdr:col>
                    <xdr:colOff>38100</xdr:colOff>
                    <xdr:row>5</xdr:row>
                    <xdr:rowOff>28575</xdr:rowOff>
                  </from>
                  <to>
                    <xdr:col>6</xdr:col>
                    <xdr:colOff>342900</xdr:colOff>
                    <xdr:row>5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5" name="Check Box 6">
              <controlPr defaultSize="0" autoFill="0" autoLine="0" autoPict="0">
                <anchor moveWithCells="1">
                  <from>
                    <xdr:col>6</xdr:col>
                    <xdr:colOff>38100</xdr:colOff>
                    <xdr:row>6</xdr:row>
                    <xdr:rowOff>28575</xdr:rowOff>
                  </from>
                  <to>
                    <xdr:col>6</xdr:col>
                    <xdr:colOff>342900</xdr:colOff>
                    <xdr:row>6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6" name="Check Box 7">
              <controlPr defaultSize="0" autoFill="0" autoLine="0" autoPict="0">
                <anchor moveWithCells="1">
                  <from>
                    <xdr:col>6</xdr:col>
                    <xdr:colOff>38100</xdr:colOff>
                    <xdr:row>7</xdr:row>
                    <xdr:rowOff>28575</xdr:rowOff>
                  </from>
                  <to>
                    <xdr:col>6</xdr:col>
                    <xdr:colOff>342900</xdr:colOff>
                    <xdr:row>7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7" name="Check Box 8">
              <controlPr defaultSize="0" autoFill="0" autoLine="0" autoPict="0">
                <anchor moveWithCells="1">
                  <from>
                    <xdr:col>6</xdr:col>
                    <xdr:colOff>38100</xdr:colOff>
                    <xdr:row>8</xdr:row>
                    <xdr:rowOff>28575</xdr:rowOff>
                  </from>
                  <to>
                    <xdr:col>6</xdr:col>
                    <xdr:colOff>342900</xdr:colOff>
                    <xdr:row>8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8" name="Check Box 9">
              <controlPr defaultSize="0" autoFill="0" autoLine="0" autoPict="0">
                <anchor moveWithCells="1">
                  <from>
                    <xdr:col>6</xdr:col>
                    <xdr:colOff>38100</xdr:colOff>
                    <xdr:row>9</xdr:row>
                    <xdr:rowOff>28575</xdr:rowOff>
                  </from>
                  <to>
                    <xdr:col>6</xdr:col>
                    <xdr:colOff>342900</xdr:colOff>
                    <xdr:row>9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9" name="Check Box 10">
              <controlPr defaultSize="0" autoFill="0" autoLine="0" autoPict="0">
                <anchor moveWithCells="1">
                  <from>
                    <xdr:col>6</xdr:col>
                    <xdr:colOff>38100</xdr:colOff>
                    <xdr:row>10</xdr:row>
                    <xdr:rowOff>28575</xdr:rowOff>
                  </from>
                  <to>
                    <xdr:col>6</xdr:col>
                    <xdr:colOff>342900</xdr:colOff>
                    <xdr:row>10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10" name="Check Box 11">
              <controlPr defaultSize="0" autoFill="0" autoLine="0" autoPict="0">
                <anchor moveWithCells="1">
                  <from>
                    <xdr:col>6</xdr:col>
                    <xdr:colOff>38100</xdr:colOff>
                    <xdr:row>11</xdr:row>
                    <xdr:rowOff>28575</xdr:rowOff>
                  </from>
                  <to>
                    <xdr:col>6</xdr:col>
                    <xdr:colOff>342900</xdr:colOff>
                    <xdr:row>11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11" name="Check Box 12">
              <controlPr defaultSize="0" autoFill="0" autoLine="0" autoPict="0">
                <anchor moveWithCells="1">
                  <from>
                    <xdr:col>6</xdr:col>
                    <xdr:colOff>38100</xdr:colOff>
                    <xdr:row>12</xdr:row>
                    <xdr:rowOff>28575</xdr:rowOff>
                  </from>
                  <to>
                    <xdr:col>6</xdr:col>
                    <xdr:colOff>342900</xdr:colOff>
                    <xdr:row>12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2" name="Check Box 13">
              <controlPr defaultSize="0" autoFill="0" autoLine="0" autoPict="0">
                <anchor moveWithCells="1">
                  <from>
                    <xdr:col>6</xdr:col>
                    <xdr:colOff>38100</xdr:colOff>
                    <xdr:row>13</xdr:row>
                    <xdr:rowOff>28575</xdr:rowOff>
                  </from>
                  <to>
                    <xdr:col>6</xdr:col>
                    <xdr:colOff>342900</xdr:colOff>
                    <xdr:row>13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3" name="Check Box 14">
              <controlPr defaultSize="0" autoFill="0" autoLine="0" autoPict="0">
                <anchor moveWithCells="1">
                  <from>
                    <xdr:col>6</xdr:col>
                    <xdr:colOff>38100</xdr:colOff>
                    <xdr:row>14</xdr:row>
                    <xdr:rowOff>28575</xdr:rowOff>
                  </from>
                  <to>
                    <xdr:col>6</xdr:col>
                    <xdr:colOff>342900</xdr:colOff>
                    <xdr:row>14</xdr:row>
                    <xdr:rowOff>295275</xdr:rowOff>
                  </to>
                </anchor>
              </controlPr>
            </control>
          </mc:Choice>
        </mc:AlternateContent>
      </controls>
    </mc:Choice>
  </mc:AlternateContent>
  <tableParts count="1">
    <tablePart r:id="rId14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1</vt:i4>
      </vt:variant>
    </vt:vector>
  </HeadingPairs>
  <TitlesOfParts>
    <vt:vector size="1" baseType="lpstr">
      <vt:lpstr>Planilha1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Andreas Fenner</dc:creator>
  <cp:lastModifiedBy>Windcraft</cp:lastModifiedBy>
  <dcterms:created xsi:type="dcterms:W3CDTF">2025-11-19T16:55:29Z</dcterms:created>
  <dcterms:modified xsi:type="dcterms:W3CDTF">2026-02-23T16:38:12Z</dcterms:modified>
</cp:coreProperties>
</file>