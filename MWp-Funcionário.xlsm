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Windcraft\Windcraft Dropbox\Bastian Fenner\9.0 - Coordenação de O&amp;M\9.2 - O&amp;M Solar\9.2.1 - HELEXIA\9.2.1.0 Gerencial\9.2.1.6 Fluxo de Caixa\Controle de Despesas\"/>
    </mc:Choice>
  </mc:AlternateContent>
  <xr:revisionPtr revIDLastSave="0" documentId="13_ncr:1_{ABA972AB-9950-477A-9A95-CCF87BA193E4}" xr6:coauthVersionLast="47" xr6:coauthVersionMax="47" xr10:uidLastSave="{00000000-0000-0000-0000-000000000000}"/>
  <bookViews>
    <workbookView xWindow="20370" yWindow="1140" windowWidth="24240" windowHeight="13020" xr2:uid="{8079F205-680C-4FC3-A9DB-E1B3AB6C4EC1}"/>
  </bookViews>
  <sheets>
    <sheet name="Release-0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F5" i="1"/>
  <c r="F6" i="1"/>
  <c r="F7" i="1"/>
  <c r="F8" i="1"/>
  <c r="F9" i="1"/>
  <c r="F10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<sst xmlns="http://schemas.openxmlformats.org/spreadsheetml/2006/main" count="18" uniqueCount="18">
  <si>
    <t xml:space="preserve">Windcraft Engenharia </t>
  </si>
  <si>
    <t xml:space="preserve">Estados </t>
  </si>
  <si>
    <t>AM</t>
  </si>
  <si>
    <t>BA</t>
  </si>
  <si>
    <t>CE</t>
  </si>
  <si>
    <t>GO</t>
  </si>
  <si>
    <t>MS</t>
  </si>
  <si>
    <t>PE</t>
  </si>
  <si>
    <t>PR</t>
  </si>
  <si>
    <t>RN</t>
  </si>
  <si>
    <t>RO</t>
  </si>
  <si>
    <t>RS</t>
  </si>
  <si>
    <t>SP</t>
  </si>
  <si>
    <t>Potência</t>
  </si>
  <si>
    <t>Valor Gráfico</t>
  </si>
  <si>
    <t>Rev.</t>
  </si>
  <si>
    <t>Média Valores</t>
  </si>
  <si>
    <t>Funcionários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</si>
</sst>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0"/>
      <name val="Times New Roman"/>
      <family val="2"/>
    </font>
    <font>
      <sz val="14"/>
      <color theme="0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center"/>
    </xf>
    <xf numFmtId="0" fontId="0" fillId="3" borderId="0" xfId="0" applyFill="1"/>
    <xf numFmtId="2" fontId="0" fillId="3" borderId="0" xfId="0" applyNumberFormat="1" applyFill="1"/>
    <xf numFmtId="0" fontId="3" fillId="2" borderId="0" xfId="0" applyFont="1" applyFill="1" applyAlignment="1">
      <alignment horizontal="left" vertic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1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</cellXfs>
  <cellStyles count="2">
    <cellStyle name="Moeda" xfId="1" builtinId="4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MWp/Valor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MWp/Valor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'Release-01'!$B$5:$B$15</c:f>
              <c:strCache>
                <c:ptCount val="11"/>
                <c:pt idx="0">
                  <c:v>AM</c:v>
                </c:pt>
                <c:pt idx="1">
                  <c:v>BA</c:v>
                </c:pt>
                <c:pt idx="2">
                  <c:v>CE</c:v>
                </c:pt>
                <c:pt idx="3">
                  <c:v>GO</c:v>
                </c:pt>
                <c:pt idx="4">
                  <c:v>MS</c:v>
                </c:pt>
                <c:pt idx="5">
                  <c:v>PE</c:v>
                </c:pt>
                <c:pt idx="6">
                  <c:v>PR</c:v>
                </c:pt>
                <c:pt idx="7">
                  <c:v>RN</c:v>
                </c:pt>
                <c:pt idx="8">
                  <c:v>RO</c:v>
                </c:pt>
                <c:pt idx="9">
                  <c:v>RS</c:v>
                </c:pt>
                <c:pt idx="10">
                  <c:v>SP</c:v>
                </c:pt>
              </c:strCache>
            </c:strRef>
          </c:cat>
          <c:val>
            <c:numRef>
              <c:f>'Release-01'!$F$5:$F$15</c:f>
              <c:numCache>
                <c:formatCode>0.00</c:formatCode>
                <c:ptCount val="11"/>
                <c:pt idx="0">
                  <c:v>4.67</c:v>
                </c:pt>
                <c:pt idx="1">
                  <c:v>1.165</c:v>
                </c:pt>
                <c:pt idx="2">
                  <c:v>3.2399999999999998</c:v>
                </c:pt>
                <c:pt idx="3">
                  <c:v>3.62</c:v>
                </c:pt>
                <c:pt idx="4">
                  <c:v>2.2650000000000001</c:v>
                </c:pt>
                <c:pt idx="5">
                  <c:v>3.7650000000000001</c:v>
                </c:pt>
                <c:pt idx="6">
                  <c:v>1.405</c:v>
                </c:pt>
                <c:pt idx="7">
                  <c:v>1.2075</c:v>
                </c:pt>
                <c:pt idx="8">
                  <c:v>1.4305000000000001</c:v>
                </c:pt>
                <c:pt idx="9">
                  <c:v>2.2656666666666667</c:v>
                </c:pt>
                <c:pt idx="10">
                  <c:v>3.80125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8-4623-BC55-5C9A9BB56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3816160"/>
        <c:axId val="1023818560"/>
      </c:barChart>
      <c:lineChart>
        <c:grouping val="standard"/>
        <c:varyColors val="0"/>
        <c:ser>
          <c:idx val="0"/>
          <c:order val="1"/>
          <c:tx>
            <c:v>Média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'Release-01'!$E$5:$E$15</c:f>
              <c:numCache>
                <c:formatCode>0.00</c:formatCode>
                <c:ptCount val="11"/>
                <c:pt idx="0">
                  <c:v>2.9594634146341461</c:v>
                </c:pt>
                <c:pt idx="1">
                  <c:v>2.9594634146341461</c:v>
                </c:pt>
                <c:pt idx="2">
                  <c:v>2.9594634146341461</c:v>
                </c:pt>
                <c:pt idx="3">
                  <c:v>2.9594634146341461</c:v>
                </c:pt>
                <c:pt idx="4">
                  <c:v>2.9594634146341461</c:v>
                </c:pt>
                <c:pt idx="5">
                  <c:v>2.9594634146341461</c:v>
                </c:pt>
                <c:pt idx="6">
                  <c:v>2.9594634146341461</c:v>
                </c:pt>
                <c:pt idx="7">
                  <c:v>2.9594634146341461</c:v>
                </c:pt>
                <c:pt idx="8">
                  <c:v>2.9594634146341461</c:v>
                </c:pt>
                <c:pt idx="9">
                  <c:v>2.9594634146341461</c:v>
                </c:pt>
                <c:pt idx="10">
                  <c:v>2.9594634146341461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948-4623-BC55-5C9A9BB56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816160"/>
        <c:axId val="1023818560"/>
      </c:lineChart>
      <c:catAx>
        <c:axId val="102381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818560"/>
        <c:crosses val="autoZero"/>
        <c:auto val="1"/>
        <c:lblAlgn val="ctr"/>
        <c:lblOffset val="100"/>
        <c:noMultiLvlLbl val="0"/>
      </c:catAx>
      <c:valAx>
        <c:axId val="102381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81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checked="Checked" fmlaLink="G5" lockText="1" noThreeD="1"/>
</file>

<file path=xl/ctrlProps/ctrlProp2.xml><?xml version="1.0" encoding="utf-8"?>
<formControlPr xmlns="http://schemas.microsoft.com/office/spreadsheetml/2009/9/main" objectType="CheckBox" checked="Checked" fmlaLink="G6" lockText="1" noThreeD="1"/>
</file>

<file path=xl/ctrlProps/ctrlProp3.xml><?xml version="1.0" encoding="utf-8"?>
<formControlPr xmlns="http://schemas.microsoft.com/office/spreadsheetml/2009/9/main" objectType="CheckBox" checked="Checked" fmlaLink="G7" lockText="1" noThreeD="1"/>
</file>

<file path=xl/ctrlProps/ctrlProp4.xml><?xml version="1.0" encoding="utf-8"?>
<formControlPr xmlns="http://schemas.microsoft.com/office/spreadsheetml/2009/9/main" objectType="CheckBox" checked="Checked" fmlaLink="G8" lockText="1" noThreeD="1"/>
</file>

<file path=xl/ctrlProps/ctrlProp5.xml><?xml version="1.0" encoding="utf-8"?>
<formControlPr xmlns="http://schemas.microsoft.com/office/spreadsheetml/2009/9/main" objectType="CheckBox" checked="Checked" fmlaLink="G9" lockText="1" noThreeD="1"/>
</file>

<file path=xl/ctrlProps/ctrlProp6.xml><?xml version="1.0" encoding="utf-8"?>
<formControlPr xmlns="http://schemas.microsoft.com/office/spreadsheetml/2009/9/main" objectType="CheckBox" checked="Checked" fmlaLink="G10" lockText="1" noThreeD="1"/>
</file>

<file path=xl/ctrlProps/ctrlProp7.xml><?xml version="1.0" encoding="utf-8"?>
<formControlPr xmlns="http://schemas.microsoft.com/office/spreadsheetml/2009/9/main" objectType="CheckBox" checked="Checked" fmlaLink="G11" lockText="1" noThreeD="1"/>
</file>

<file path=xl/ctrlProps/ctrlProp8.xml><?xml version="1.0" encoding="utf-8"?>
<formControlPr xmlns="http://schemas.microsoft.com/office/spreadsheetml/2009/9/main" objectType="CheckBox" checked="Checked" fmlaLink="G12" lockText="1" noThreeD="1"/>
</file>

<file path=xl/ctrlProps/ctrlProp9.xml><?xml version="1.0" encoding="utf-8"?>
<formControlPr xmlns="http://schemas.microsoft.com/office/spreadsheetml/2009/9/main" objectType="CheckBox" checked="Checked" fmlaLink="G13" lockText="1" noThreeD="1"/>
</file>

<file path=xl/ctrlProps/ctrlProp10.xml><?xml version="1.0" encoding="utf-8"?>
<formControlPr xmlns="http://schemas.microsoft.com/office/spreadsheetml/2009/9/main" objectType="CheckBox" checked="Checked" fmlaLink="G14" lockText="1" noThreeD="1"/>
</file>

<file path=xl/ctrlProps/ctrlProp11.xml><?xml version="1.0" encoding="utf-8"?>
<formControlPr xmlns="http://schemas.microsoft.com/office/spreadsheetml/2009/9/main" objectType="CheckBox" checked="Checked" fmlaLink="G1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104774</xdr:rowOff>
    </xdr:from>
    <xdr:to>
      <xdr:col>0</xdr:col>
      <xdr:colOff>581025</xdr:colOff>
      <xdr:row>2</xdr:row>
      <xdr:rowOff>104775</xdr:rowOff>
    </xdr:to>
    <xdr:sp macro="" textlink="">
      <xdr:nvSpPr>
        <xdr:cNvPr id="2" name="Pentágono 1">
          <a:extLst>
            <a:ext uri="{FF2B5EF4-FFF2-40B4-BE49-F238E27FC236}">
              <a16:creationId xmlns:a16="http://schemas.microsoft.com/office/drawing/2014/main" id="{D025F56B-85E6-F8E7-F35F-CB0610EE808E}"/>
            </a:ext>
          </a:extLst>
        </xdr:cNvPr>
        <xdr:cNvSpPr/>
      </xdr:nvSpPr>
      <xdr:spPr>
        <a:xfrm>
          <a:off x="123826" y="104774"/>
          <a:ext cx="457199" cy="476251"/>
        </a:xfrm>
        <a:prstGeom prst="pentagon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</a:p>
      </xdr:txBody>
    </xdr:sp>
    <xdr:clientData/>
  </xdr:twoCellAnchor>
  <xdr:oneCellAnchor>
    <xdr:from>
      <xdr:col>12</xdr:col>
      <xdr:colOff>285750</xdr:colOff>
      <xdr:row>16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C9EA499-750A-6CE6-65DF-28279CD3FFAF}"/>
            </a:ext>
          </a:extLst>
        </xdr:cNvPr>
        <xdr:cNvSpPr txBox="1"/>
      </xdr:nvSpPr>
      <xdr:spPr>
        <a:xfrm>
          <a:off x="6381750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</xdr:col>
      <xdr:colOff>52387</xdr:colOff>
      <xdr:row>3</xdr:row>
      <xdr:rowOff>28574</xdr:rowOff>
    </xdr:from>
    <xdr:to>
      <xdr:col>17</xdr:col>
      <xdr:colOff>409575</xdr:colOff>
      <xdr:row>14</xdr:row>
      <xdr:rowOff>333374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C241B9-ED9E-E162-1FBC-2131987FC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A5807B-55C4-44F2-8AD3-ABE00C59D236}" name="Tabela1" displayName="Tabela1" ref="B4:G15" totalsRowShown="0" headerRowDxfId="6">
  <autoFilter ref="B4:G15" xr:uid="{6FA5807B-55C4-44F2-8AD3-ABE00C59D236}"/>
  <tableColumns count="6">
    <tableColumn id="1" xr3:uid="{F20A04B2-E846-4631-B027-E11383DE7250}" name="Estados " dataDxfId="5"/>
    <tableColumn id="2" xr3:uid="{996BA97A-E984-4CCA-8E3D-358479D47A4D}" name="Potência" dataDxfId="4" dataCellStyle="Moeda"/>
    <tableColumn id="3" xr3:uid="{D0C0D40E-9E6A-4291-A9F5-FB641BCD3A35}" name="Funcionários" dataDxfId="3"/>
    <tableColumn id="6" xr3:uid="{7BD132AD-BCF6-4BFC-AEA4-C5A32B4F106A}" name="Média Valores" dataDxfId="2">
      <calculatedColumnFormula>IFERROR(
    SUMIFS(Tabela1[Potência], Tabela1[Rev.], TRUE) /
    SUMIFS(Tabela1[Funcionários], Tabela1[Rev.], TRUE),
    0
)</calculatedColumnFormula>
    </tableColumn>
    <tableColumn id="5" xr3:uid="{0CDA1C30-33E6-4994-A9EA-095660232F5F}" name="Valor Gráfico" dataDxfId="1">
      <calculatedColumnFormula>IFERROR(IF(Tabela1[[#This Row],[Rev.]]=FALSE, NA(), Tabela1[[#This Row],[Potência]]/Tabela1[[#This Row],[Funcionários]]), NA())</calculatedColumnFormula>
    </tableColumn>
    <tableColumn id="4" xr3:uid="{B717EAA1-8C84-46F5-8A71-D985D732A5E8}" name="Rev.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BB24-A13C-478C-993F-C9EF82DFE21B}">
  <sheetPr codeName="Planilha1"/>
  <dimension ref="A1:R37"/>
  <sheetViews>
    <sheetView tabSelected="1" workbookViewId="0">
      <selection activeCell="A9" sqref="A9"/>
    </sheetView>
  </sheetViews>
  <sheetFormatPr defaultColWidth="0" defaultRowHeight="15" zeroHeight="1" x14ac:dyDescent="0.25"/>
  <cols>
    <col min="1" max="1" width="10.7109375" customWidth="1"/>
    <col min="2" max="3" width="13.5703125" bestFit="1" customWidth="1"/>
    <col min="4" max="5" width="16.5703125" customWidth="1"/>
    <col min="6" max="6" width="12.28515625" customWidth="1"/>
    <col min="7" max="7" width="5.85546875" customWidth="1"/>
    <col min="8" max="18" width="9.140625" customWidth="1"/>
    <col min="19" max="16384" width="9.140625" hidden="1"/>
  </cols>
  <sheetData>
    <row r="1" spans="1:18" ht="18.75" x14ac:dyDescent="0.25">
      <c r="A1" s="2"/>
      <c r="B1" s="16" t="s">
        <v>0</v>
      </c>
      <c r="C1" s="16"/>
      <c r="D1" s="16"/>
      <c r="E1" s="6"/>
      <c r="F1" s="6"/>
      <c r="G1" s="2"/>
      <c r="H1" s="2"/>
      <c r="I1" s="2"/>
      <c r="J1" s="2"/>
      <c r="K1" s="2"/>
      <c r="L1" s="2"/>
      <c r="M1" s="2"/>
      <c r="N1" s="1"/>
      <c r="O1" s="1"/>
      <c r="P1" s="1"/>
      <c r="Q1" s="1"/>
      <c r="R1" s="1"/>
    </row>
    <row r="2" spans="1:18" ht="18.75" x14ac:dyDescent="0.25">
      <c r="A2" s="2"/>
      <c r="B2" s="16"/>
      <c r="C2" s="16"/>
      <c r="D2" s="16"/>
      <c r="E2" s="6"/>
      <c r="F2" s="6"/>
      <c r="G2" s="2"/>
      <c r="H2" s="2"/>
      <c r="I2" s="2"/>
      <c r="J2" s="2"/>
      <c r="K2" s="2"/>
      <c r="L2" s="2"/>
      <c r="M2" s="2"/>
      <c r="N2" s="1"/>
      <c r="O2" s="1"/>
      <c r="P2" s="1"/>
      <c r="Q2" s="1"/>
      <c r="R2" s="1"/>
    </row>
    <row r="3" spans="1:18" ht="18.75" x14ac:dyDescent="0.25">
      <c r="A3" s="2"/>
      <c r="B3" s="16"/>
      <c r="C3" s="16"/>
      <c r="D3" s="16"/>
      <c r="E3" s="6"/>
      <c r="F3" s="6"/>
      <c r="G3" s="2"/>
      <c r="H3" s="2"/>
      <c r="I3" s="2"/>
      <c r="J3" s="2"/>
      <c r="K3" s="2"/>
      <c r="L3" s="2"/>
      <c r="M3" s="2"/>
      <c r="N3" s="1"/>
      <c r="O3" s="1"/>
      <c r="P3" s="1"/>
      <c r="Q3" s="1"/>
      <c r="R3" s="1"/>
    </row>
    <row r="4" spans="1:18" ht="26.25" customHeight="1" x14ac:dyDescent="0.25">
      <c r="A4" s="4"/>
      <c r="B4" s="3" t="s">
        <v>1</v>
      </c>
      <c r="C4" s="3" t="s">
        <v>13</v>
      </c>
      <c r="D4" s="3" t="s">
        <v>17</v>
      </c>
      <c r="E4" s="3" t="s">
        <v>16</v>
      </c>
      <c r="F4" s="3" t="s">
        <v>14</v>
      </c>
      <c r="G4" s="3" t="s">
        <v>15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26.25" customHeight="1" x14ac:dyDescent="0.25">
      <c r="A5" s="4"/>
      <c r="B5" s="3" t="s">
        <v>2</v>
      </c>
      <c r="C5" s="8">
        <v>9.34</v>
      </c>
      <c r="D5" s="3">
        <v>2</v>
      </c>
      <c r="E5" s="7">
        <f>IFERROR(
    SUMIFS(Tabela1[Potência], Tabela1[Rev.], TRUE) /
    SUMIFS(Tabela1[Funcionários], Tabela1[Rev.], TRUE),
    0
)</f>
        <v>2.9594634146341461</v>
      </c>
      <c r="F5" s="7">
        <f>IFERROR(IF(Tabela1[[#This Row],[Rev.]]=FALSE, NA(), Tabela1[[#This Row],[Potência]]/Tabela1[[#This Row],[Funcionários]]), NA())</f>
        <v>4.67</v>
      </c>
      <c r="G5" s="10" t="b">
        <v>1</v>
      </c>
      <c r="H5" s="9"/>
      <c r="I5" s="4"/>
      <c r="J5" s="4"/>
      <c r="K5" s="4"/>
      <c r="L5" s="5"/>
      <c r="M5" s="4"/>
      <c r="N5" s="4"/>
      <c r="O5" s="4"/>
      <c r="P5" s="4"/>
      <c r="Q5" s="4"/>
      <c r="R5" s="4"/>
    </row>
    <row r="6" spans="1:18" ht="26.25" customHeight="1" x14ac:dyDescent="0.25">
      <c r="A6" s="4"/>
      <c r="B6" s="3" t="s">
        <v>3</v>
      </c>
      <c r="C6" s="8">
        <v>2.33</v>
      </c>
      <c r="D6" s="3">
        <v>2</v>
      </c>
      <c r="E6" s="7">
        <f>IFERROR(
    SUMIFS(Tabela1[Potência], Tabela1[Rev.], TRUE) /
    SUMIFS(Tabela1[Funcionários], Tabela1[Rev.], TRUE),
    0
)</f>
        <v>2.9594634146341461</v>
      </c>
      <c r="F6" s="7">
        <f>IFERROR(IF(Tabela1[[#This Row],[Rev.]]=FALSE, NA(), Tabela1[[#This Row],[Potência]]/Tabela1[[#This Row],[Funcionários]]), NA())</f>
        <v>1.165</v>
      </c>
      <c r="G6" s="10" t="b">
        <v>1</v>
      </c>
      <c r="H6" s="9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26.25" customHeight="1" x14ac:dyDescent="0.25">
      <c r="A7" s="4"/>
      <c r="B7" s="3" t="s">
        <v>4</v>
      </c>
      <c r="C7" s="8">
        <v>16.2</v>
      </c>
      <c r="D7" s="3">
        <v>5</v>
      </c>
      <c r="E7" s="7">
        <f>IFERROR(
    SUMIFS(Tabela1[Potência], Tabela1[Rev.], TRUE) /
    SUMIFS(Tabela1[Funcionários], Tabela1[Rev.], TRUE),
    0
)</f>
        <v>2.9594634146341461</v>
      </c>
      <c r="F7" s="7">
        <f>IFERROR(IF(Tabela1[[#This Row],[Rev.]]=FALSE, NA(), Tabela1[[#This Row],[Potência]]/Tabela1[[#This Row],[Funcionários]]), NA())</f>
        <v>3.2399999999999998</v>
      </c>
      <c r="G7" s="10" t="b">
        <v>1</v>
      </c>
      <c r="H7" s="9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ht="26.25" customHeight="1" x14ac:dyDescent="0.25">
      <c r="A8" s="4"/>
      <c r="B8" s="3" t="s">
        <v>5</v>
      </c>
      <c r="C8" s="8">
        <v>18.100000000000001</v>
      </c>
      <c r="D8" s="3">
        <v>5</v>
      </c>
      <c r="E8" s="7">
        <f>IFERROR(
    SUMIFS(Tabela1[Potência], Tabela1[Rev.], TRUE) /
    SUMIFS(Tabela1[Funcionários], Tabela1[Rev.], TRUE),
    0
)</f>
        <v>2.9594634146341461</v>
      </c>
      <c r="F8" s="7">
        <f>IFERROR(IF(Tabela1[[#This Row],[Rev.]]=FALSE, NA(), Tabela1[[#This Row],[Potência]]/Tabela1[[#This Row],[Funcionários]]), NA())</f>
        <v>3.62</v>
      </c>
      <c r="G8" s="10" t="b">
        <v>1</v>
      </c>
      <c r="H8" s="9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ht="26.25" customHeight="1" x14ac:dyDescent="0.25">
      <c r="A9" s="4"/>
      <c r="B9" s="3" t="s">
        <v>6</v>
      </c>
      <c r="C9" s="8">
        <v>4.53</v>
      </c>
      <c r="D9" s="3">
        <v>2</v>
      </c>
      <c r="E9" s="7">
        <f>IFERROR(
    SUMIFS(Tabela1[Potência], Tabela1[Rev.], TRUE) /
    SUMIFS(Tabela1[Funcionários], Tabela1[Rev.], TRUE),
    0
)</f>
        <v>2.9594634146341461</v>
      </c>
      <c r="F9" s="7">
        <f>IFERROR(IF(Tabela1[[#This Row],[Rev.]]=FALSE, NA(), Tabela1[[#This Row],[Potência]]/Tabela1[[#This Row],[Funcionários]]), NA())</f>
        <v>2.2650000000000001</v>
      </c>
      <c r="G9" s="10" t="b">
        <v>1</v>
      </c>
      <c r="H9" s="9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ht="26.25" customHeight="1" x14ac:dyDescent="0.25">
      <c r="A10" s="4"/>
      <c r="B10" s="3" t="s">
        <v>7</v>
      </c>
      <c r="C10" s="8">
        <v>7.53</v>
      </c>
      <c r="D10" s="3">
        <v>2</v>
      </c>
      <c r="E10" s="7">
        <f>IFERROR(
    SUMIFS(Tabela1[Potência], Tabela1[Rev.], TRUE) /
    SUMIFS(Tabela1[Funcionários], Tabela1[Rev.], TRUE),
    0
)</f>
        <v>2.9594634146341461</v>
      </c>
      <c r="F10" s="7">
        <f>IFERROR(IF(Tabela1[[#This Row],[Rev.]]=FALSE, NA(), Tabela1[[#This Row],[Potência]]/Tabela1[[#This Row],[Funcionários]]), NA())</f>
        <v>3.7650000000000001</v>
      </c>
      <c r="G10" s="10" t="b">
        <v>1</v>
      </c>
      <c r="H10" s="9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ht="26.25" customHeight="1" x14ac:dyDescent="0.25">
      <c r="A11" s="4"/>
      <c r="B11" s="3" t="s">
        <v>8</v>
      </c>
      <c r="C11" s="8">
        <v>5.62</v>
      </c>
      <c r="D11" s="3">
        <v>4</v>
      </c>
      <c r="E11" s="7">
        <f>IFERROR(
    SUMIFS(Tabela1[Potência], Tabela1[Rev.], TRUE) /
    SUMIFS(Tabela1[Funcionários], Tabela1[Rev.], TRUE),
    0
)</f>
        <v>2.9594634146341461</v>
      </c>
      <c r="F11" s="7">
        <f>IFERROR(IF(Tabela1[[#This Row],[Rev.]]=FALSE, NA(), Tabela1[[#This Row],[Potência]]/Tabela1[[#This Row],[Funcionários]]), NA())</f>
        <v>1.405</v>
      </c>
      <c r="G11" s="10" t="b">
        <v>1</v>
      </c>
      <c r="H11" s="9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ht="26.25" customHeight="1" x14ac:dyDescent="0.25">
      <c r="A12" s="4"/>
      <c r="B12" s="3" t="s">
        <v>9</v>
      </c>
      <c r="C12" s="8">
        <v>2.415</v>
      </c>
      <c r="D12" s="3">
        <v>2</v>
      </c>
      <c r="E12" s="7">
        <f>IFERROR(
    SUMIFS(Tabela1[Potência], Tabela1[Rev.], TRUE) /
    SUMIFS(Tabela1[Funcionários], Tabela1[Rev.], TRUE),
    0
)</f>
        <v>2.9594634146341461</v>
      </c>
      <c r="F12" s="7">
        <f>IFERROR(IF(Tabela1[[#This Row],[Rev.]]=FALSE, NA(), Tabela1[[#This Row],[Potência]]/Tabela1[[#This Row],[Funcionários]]), NA())</f>
        <v>1.2075</v>
      </c>
      <c r="G12" s="10" t="b">
        <v>1</v>
      </c>
      <c r="H12" s="9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ht="26.25" customHeight="1" x14ac:dyDescent="0.25">
      <c r="A13" s="4"/>
      <c r="B13" s="3" t="s">
        <v>10</v>
      </c>
      <c r="C13" s="8">
        <v>2.8610000000000002</v>
      </c>
      <c r="D13" s="3">
        <v>2</v>
      </c>
      <c r="E13" s="7">
        <f>IFERROR(
    SUMIFS(Tabela1[Potência], Tabela1[Rev.], TRUE) /
    SUMIFS(Tabela1[Funcionários], Tabela1[Rev.], TRUE),
    0
)</f>
        <v>2.9594634146341461</v>
      </c>
      <c r="F13" s="7">
        <f>IFERROR(IF(Tabela1[[#This Row],[Rev.]]=FALSE, NA(), Tabela1[[#This Row],[Potência]]/Tabela1[[#This Row],[Funcionários]]), NA())</f>
        <v>1.4305000000000001</v>
      </c>
      <c r="G13" s="10" t="b">
        <v>1</v>
      </c>
      <c r="H13" s="9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ht="26.25" customHeight="1" x14ac:dyDescent="0.25">
      <c r="A14" s="4"/>
      <c r="B14" s="3" t="s">
        <v>11</v>
      </c>
      <c r="C14" s="8">
        <v>6.7969999999999997</v>
      </c>
      <c r="D14" s="3">
        <v>3</v>
      </c>
      <c r="E14" s="7">
        <f>IFERROR(
    SUMIFS(Tabela1[Potência], Tabela1[Rev.], TRUE) /
    SUMIFS(Tabela1[Funcionários], Tabela1[Rev.], TRUE),
    0
)</f>
        <v>2.9594634146341461</v>
      </c>
      <c r="F14" s="7">
        <f>IFERROR(IF(Tabela1[[#This Row],[Rev.]]=FALSE, NA(), Tabela1[[#This Row],[Potência]]/Tabela1[[#This Row],[Funcionários]]), NA())</f>
        <v>2.2656666666666667</v>
      </c>
      <c r="G14" s="10" t="b">
        <v>1</v>
      </c>
      <c r="H14" s="9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ht="26.25" customHeight="1" x14ac:dyDescent="0.25">
      <c r="A15" s="4"/>
      <c r="B15" s="3" t="s">
        <v>12</v>
      </c>
      <c r="C15" s="8">
        <v>45.615000000000002</v>
      </c>
      <c r="D15" s="3">
        <v>12</v>
      </c>
      <c r="E15" s="7">
        <f>IFERROR(
    SUMIFS(Tabela1[Potência], Tabela1[Rev.], TRUE) /
    SUMIFS(Tabela1[Funcionários], Tabela1[Rev.], TRUE),
    0
)</f>
        <v>2.9594634146341461</v>
      </c>
      <c r="F15" s="7">
        <f>IFERROR(IF(Tabela1[[#This Row],[Rev.]]=FALSE, NA(), Tabela1[[#This Row],[Potência]]/Tabela1[[#This Row],[Funcionários]]), NA())</f>
        <v>3.80125</v>
      </c>
      <c r="G15" s="10" t="b">
        <v>1</v>
      </c>
      <c r="H15" s="9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 ht="26.25" customHeight="1" x14ac:dyDescent="0.25">
      <c r="A16" s="4"/>
      <c r="B16" s="11"/>
      <c r="C16" s="12"/>
      <c r="D16" s="14"/>
      <c r="E16" s="14"/>
      <c r="F16" s="15"/>
      <c r="G16" s="13"/>
      <c r="H16" s="9"/>
      <c r="I16" s="4"/>
      <c r="J16" s="4"/>
      <c r="K16" s="4"/>
      <c r="L16" s="4"/>
      <c r="M16" s="4"/>
      <c r="N16" s="4"/>
      <c r="O16" s="4"/>
      <c r="P16" s="4"/>
      <c r="Q16" s="4"/>
      <c r="R16" s="4"/>
    </row>
    <row r="31" spans="7:7" hidden="1" x14ac:dyDescent="0.25">
      <c r="G31" t="b">
        <v>1</v>
      </c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</sheetData>
  <mergeCells count="1">
    <mergeCell ref="B1:D3"/>
  </mergeCells>
  <conditionalFormatting sqref="F5:F16">
    <cfRule type="containsErrors" dxfId="7" priority="3">
      <formula>ISERROR(F5)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Check Box 4">
              <controlPr defaultSize="0" autoFill="0" autoLine="0" autoPict="0">
                <anchor moveWithCells="1"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6</xdr:col>
                    <xdr:colOff>38100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6</xdr:col>
                    <xdr:colOff>38100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6</xdr:col>
                    <xdr:colOff>38100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6</xdr:col>
                    <xdr:colOff>38100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6</xdr:col>
                    <xdr:colOff>38100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6</xdr:col>
                    <xdr:colOff>38100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6</xdr:col>
                    <xdr:colOff>38100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6</xdr:col>
                    <xdr:colOff>38100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6</xdr:col>
                    <xdr:colOff>38100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6</xdr:col>
                    <xdr:colOff>38100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Release-01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Fenner</dc:creator>
  <cp:lastModifiedBy>Windcraft</cp:lastModifiedBy>
  <dcterms:created xsi:type="dcterms:W3CDTF">2025-11-19T16:55:29Z</dcterms:created>
  <dcterms:modified xsi:type="dcterms:W3CDTF">2026-06-22T13:17:35Z</dcterms:modified>
</cp:coreProperties>
</file>