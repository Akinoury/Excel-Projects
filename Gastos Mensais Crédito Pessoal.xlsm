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Windcraft\Desktop\"/>
    </mc:Choice>
  </mc:AlternateContent>
  <xr:revisionPtr revIDLastSave="0" documentId="13_ncr:1_{EDBB7DCC-F610-46A4-ADC0-1DC34FD474B5}" xr6:coauthVersionLast="47" xr6:coauthVersionMax="47" xr10:uidLastSave="{00000000-0000-0000-0000-000000000000}"/>
  <bookViews>
    <workbookView xWindow="20370" yWindow="-120" windowWidth="24240" windowHeight="13020" xr2:uid="{00000000-000D-0000-FFFF-FFFF00000000}"/>
  </bookViews>
  <sheets>
    <sheet name="Budget Traker" sheetId="1" r:id="rId1"/>
    <sheet name="Passivos" sheetId="2" r:id="rId2"/>
    <sheet name="Previsão de Lucro do Banco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6" i="1" l="1" a="1"/>
  <c r="J16" i="1" s="1"/>
  <c r="J17" i="1" a="1"/>
  <c r="J17" i="1" s="1"/>
  <c r="J18" i="1" a="1"/>
  <c r="J18" i="1" s="1"/>
  <c r="J19" i="1" a="1"/>
  <c r="J19" i="1" s="1"/>
  <c r="J20" i="1" a="1"/>
  <c r="J20" i="1" s="1"/>
  <c r="J21" i="1" a="1"/>
  <c r="J21" i="1" s="1"/>
  <c r="J22" i="1" a="1"/>
  <c r="J22" i="1" s="1"/>
  <c r="J23" i="1" a="1"/>
  <c r="J23" i="1" s="1"/>
  <c r="J24" i="1" a="1"/>
  <c r="J24" i="1" s="1"/>
  <c r="J25" i="1" a="1"/>
  <c r="J25" i="1" s="1"/>
  <c r="J26" i="1" a="1"/>
  <c r="J26" i="1" s="1"/>
  <c r="J14" i="1" a="1"/>
  <c r="J14" i="1"/>
  <c r="J15" i="1" a="1"/>
  <c r="J15" i="1" s="1"/>
  <c r="K14" i="1" a="1"/>
  <c r="K14" i="1" s="1"/>
  <c r="K15" i="1" a="1"/>
  <c r="K15" i="1" s="1"/>
  <c r="K16" i="1" a="1"/>
  <c r="K16" i="1" s="1"/>
  <c r="K17" i="1" a="1"/>
  <c r="K17" i="1" s="1"/>
  <c r="K18" i="1" a="1"/>
  <c r="K18" i="1" s="1"/>
  <c r="K19" i="1" a="1"/>
  <c r="K19" i="1" s="1"/>
  <c r="K20" i="1" a="1"/>
  <c r="K20" i="1" s="1"/>
  <c r="K21" i="1" a="1"/>
  <c r="K21" i="1" s="1"/>
  <c r="K22" i="1" a="1"/>
  <c r="K22" i="1" s="1"/>
  <c r="K23" i="1" a="1"/>
  <c r="K23" i="1" s="1"/>
  <c r="K24" i="1" a="1"/>
  <c r="K24" i="1" s="1"/>
  <c r="K25" i="1" a="1"/>
  <c r="K25" i="1" s="1"/>
  <c r="K26" i="1" a="1"/>
  <c r="K26" i="1" s="1"/>
  <c r="K13" i="1" a="1"/>
  <c r="K13" i="1" s="1"/>
  <c r="J13" i="1" a="1"/>
  <c r="J13" i="1" s="1"/>
  <c r="C25" i="1" a="1"/>
  <c r="C25" i="1" s="1"/>
  <c r="C26" i="1" a="1"/>
  <c r="C26" i="1" s="1"/>
  <c r="C27" i="1" a="1"/>
  <c r="C27" i="1" s="1"/>
  <c r="C28" i="1" a="1"/>
  <c r="C28" i="1" s="1"/>
  <c r="C29" i="1" a="1"/>
  <c r="C29" i="1" s="1"/>
  <c r="C30" i="1" a="1"/>
  <c r="C30" i="1" s="1"/>
  <c r="C31" i="1" a="1"/>
  <c r="C31" i="1" s="1"/>
  <c r="C32" i="1" a="1"/>
  <c r="C32" i="1" s="1"/>
  <c r="C33" i="1" a="1"/>
  <c r="C33" i="1" s="1"/>
  <c r="C34" i="1" a="1"/>
  <c r="C34" i="1" s="1"/>
  <c r="D25" i="1" a="1"/>
  <c r="D25" i="1" s="1"/>
  <c r="D26" i="1" a="1"/>
  <c r="D26" i="1" s="1"/>
  <c r="D27" i="1" a="1"/>
  <c r="D27" i="1" s="1"/>
  <c r="D28" i="1" a="1"/>
  <c r="D28" i="1" s="1"/>
  <c r="D29" i="1" a="1"/>
  <c r="D29" i="1" s="1"/>
  <c r="D30" i="1" a="1"/>
  <c r="D30" i="1" s="1"/>
  <c r="D31" i="1" a="1"/>
  <c r="D31" i="1" s="1"/>
  <c r="D32" i="1" a="1"/>
  <c r="D32" i="1" s="1"/>
  <c r="D33" i="1" a="1"/>
  <c r="D33" i="1" s="1"/>
  <c r="D34" i="1" a="1"/>
  <c r="D34" i="1" s="1"/>
  <c r="D35" i="1" a="1"/>
  <c r="D35" i="1" s="1"/>
  <c r="C35" i="1" a="1"/>
  <c r="C35" i="1" s="1"/>
  <c r="G1" i="3"/>
  <c r="D9" i="2"/>
  <c r="B12" i="1"/>
  <c r="G12" i="1" s="1"/>
  <c r="G11" i="1"/>
  <c r="K3" i="1"/>
  <c r="K2" i="1"/>
  <c r="K11" i="1" l="1"/>
  <c r="B6" i="1"/>
  <c r="B3" i="1"/>
  <c r="C3" i="1" s="1"/>
  <c r="D12" i="1"/>
  <c r="B7" i="1" s="1"/>
  <c r="B5" i="1"/>
  <c r="D5" i="3"/>
  <c r="E5" i="3" s="1"/>
  <c r="F5" i="3" s="1"/>
  <c r="G5" i="3" s="1"/>
  <c r="H5" i="3" s="1"/>
  <c r="I5" i="3" s="1"/>
  <c r="J5" i="3" s="1"/>
  <c r="K5" i="3" s="1"/>
  <c r="L5" i="3" s="1"/>
  <c r="M5" i="3" s="1"/>
  <c r="C5" i="1" l="1"/>
  <c r="B4" i="1"/>
  <c r="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<sst xmlns="http://schemas.openxmlformats.org/spreadsheetml/2006/main" count="100" uniqueCount="84">
  <si>
    <t xml:space="preserve">Sumário </t>
  </si>
  <si>
    <t>Hoje</t>
  </si>
  <si>
    <t>Gastos Reais</t>
  </si>
  <si>
    <t>Vencimento da Fatura</t>
  </si>
  <si>
    <t>Restante</t>
  </si>
  <si>
    <t>Limite</t>
  </si>
  <si>
    <t>Status</t>
  </si>
  <si>
    <t>Retornar Banco</t>
  </si>
  <si>
    <t>Juros de 20%</t>
  </si>
  <si>
    <t xml:space="preserve">Renda </t>
  </si>
  <si>
    <t>Despesas</t>
  </si>
  <si>
    <t>Investimentos</t>
  </si>
  <si>
    <t>Categorias</t>
  </si>
  <si>
    <t>Meta</t>
  </si>
  <si>
    <t>Valor + Juros =</t>
  </si>
  <si>
    <t>Categoria</t>
  </si>
  <si>
    <t>Meta (P/Mês)</t>
  </si>
  <si>
    <t>Atual</t>
  </si>
  <si>
    <t>Total a Retornar</t>
  </si>
  <si>
    <t>Atual (P/Mês)</t>
  </si>
  <si>
    <t>Educação</t>
  </si>
  <si>
    <t>Windcraft</t>
  </si>
  <si>
    <t>Juros dos Investimentos</t>
  </si>
  <si>
    <t>Essenciais</t>
  </si>
  <si>
    <t>VALE3</t>
  </si>
  <si>
    <t>Ações</t>
  </si>
  <si>
    <t>PETR4</t>
  </si>
  <si>
    <t>Antecipação da Gran Conc.</t>
  </si>
  <si>
    <t>BBAS3</t>
  </si>
  <si>
    <t>SCHD</t>
  </si>
  <si>
    <t>ETF</t>
  </si>
  <si>
    <t>IEFA</t>
  </si>
  <si>
    <t xml:space="preserve">Gran Concursos </t>
  </si>
  <si>
    <t>QQQ</t>
  </si>
  <si>
    <t>VOO</t>
  </si>
  <si>
    <t>XLP</t>
  </si>
  <si>
    <t>XLV</t>
  </si>
  <si>
    <t>ITA</t>
  </si>
  <si>
    <t>BTC</t>
  </si>
  <si>
    <t>Cripto</t>
  </si>
  <si>
    <t>Caixinha/Nu</t>
  </si>
  <si>
    <t>Reserva de Emergência</t>
  </si>
  <si>
    <t>Passivos</t>
  </si>
  <si>
    <t>Check</t>
  </si>
  <si>
    <t xml:space="preserve">Gastos Passivos </t>
  </si>
  <si>
    <t>Valor</t>
  </si>
  <si>
    <t>Anual</t>
  </si>
  <si>
    <t xml:space="preserve">Whey Profit Capuccino </t>
  </si>
  <si>
    <t>MEI</t>
  </si>
  <si>
    <t>Crunchyrool</t>
  </si>
  <si>
    <t>Gemini</t>
  </si>
  <si>
    <t>Gran Faculdade</t>
  </si>
  <si>
    <t>IPVA/7</t>
  </si>
  <si>
    <t>Kit Skin Care</t>
  </si>
  <si>
    <t>Academia</t>
  </si>
  <si>
    <t>FTW Creatina Monohidratada 100% Pura</t>
  </si>
  <si>
    <t xml:space="preserve">Valor inicial: </t>
  </si>
  <si>
    <t>670 reais</t>
  </si>
  <si>
    <t>20% Juros sobre mim mesmo</t>
  </si>
  <si>
    <t>&lt;== Juros Diferença</t>
  </si>
  <si>
    <t>Fórmula = Valor do Mês Anterior+$G$1)*1,0116</t>
  </si>
  <si>
    <t>2026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</si>
  <si>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</si>
  <si>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</si>
  <si>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</si>
  <si>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</si>
  <si>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</si>
  <si>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</si>
  <si>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</si>
  <si>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</si>
  <si>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</si>
  <si>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</si>
  <si>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</si>
  <si>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</si>
  <si>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Crédito + Selic =</t>
  </si>
  <si>
    <t>)</t>
  </si>
  <si>
    <t xml:space="preserve">  ÍNDICE(</t>
  </si>
  <si>
    <t xml:space="preserve">    FILTRAR(Passivos!$C$3:$C$21; Passivos!$B$3:$B$21);</t>
  </si>
  <si>
    <t xml:space="preserve">    LIN($C$35)-LIN(C35)+1</t>
  </si>
  <si>
    <t xml:space="preserve">  );</t>
  </si>
  <si>
    <t xml:space="preserve">  ""</t>
  </si>
  <si>
    <t xml:space="preserve">    FILTRAR(Passivos!$D$3:$D$21; Passivos!$B$3:$B$21);</t>
  </si>
  <si>
    <t xml:space="preserve">    LIN($D$35)-LIN(D35)+1</t>
  </si>
  <si>
    <t>Impostos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</si>
</sst>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&quot;R$&quot;\ * #,##0.00_-;\-&quot;R$&quot;\ * #,##0.00_-;_-&quot;R$&quot;\ * &quot;-&quot;??_-;_-@_-"/>
    <numFmt numFmtId="164" formatCode="[$R$ -416]#,##0.00"/>
    <numFmt numFmtId="165" formatCode="&quot;$&quot;#,##0.00"/>
    <numFmt numFmtId="166" formatCode="mmmm\ yyyy"/>
  </numFmts>
  <fonts count="19">
    <font>
      <sz val="10"/>
      <color rgb="FF000000"/>
      <name val="Arial"/>
      <scheme val="minor"/>
    </font>
    <font>
      <b/>
      <sz val="12"/>
      <color rgb="FFFFFFFF"/>
      <name val="Arial"/>
      <scheme val="minor"/>
    </font>
    <font>
      <sz val="10"/>
      <color theme="1"/>
      <name val="Arial"/>
      <scheme val="minor"/>
    </font>
    <font>
      <b/>
      <sz val="14"/>
      <color theme="1"/>
      <name val="Arial"/>
      <scheme val="minor"/>
    </font>
    <font>
      <b/>
      <sz val="13"/>
      <color theme="1"/>
      <name val="Arial"/>
      <scheme val="minor"/>
    </font>
    <font>
      <sz val="10"/>
      <color theme="1"/>
      <name val="Arial"/>
      <scheme val="minor"/>
    </font>
    <font>
      <b/>
      <sz val="10"/>
      <color rgb="FFFFFFFF"/>
      <name val="Arial"/>
      <scheme val="minor"/>
    </font>
    <font>
      <b/>
      <sz val="11"/>
      <color theme="1"/>
      <name val="Arial"/>
      <scheme val="minor"/>
    </font>
    <font>
      <sz val="14"/>
      <color theme="1"/>
      <name val="Arial"/>
      <scheme val="minor"/>
    </font>
    <font>
      <sz val="10"/>
      <color theme="1"/>
      <name val="Arial"/>
    </font>
    <font>
      <sz val="10"/>
      <color theme="1"/>
      <name val="&quot;Google Sans Text&quot;"/>
    </font>
    <font>
      <sz val="35"/>
      <color rgb="FFFFFFFF"/>
      <name val="Times New Roman"/>
    </font>
    <font>
      <sz val="10"/>
      <name val="Arial"/>
    </font>
    <font>
      <b/>
      <sz val="10"/>
      <color rgb="FFFFFFFF"/>
      <name val="Times New Roman"/>
    </font>
    <font>
      <sz val="10"/>
      <color rgb="FFD9D9D9"/>
      <name val="Arial"/>
      <scheme val="minor"/>
    </font>
    <font>
      <sz val="9"/>
      <color theme="1"/>
      <name val="Arial"/>
      <scheme val="minor"/>
    </font>
    <font>
      <sz val="10"/>
      <color rgb="FF000000"/>
      <name val="Arial"/>
      <scheme val="minor"/>
    </font>
    <font>
      <sz val="10"/>
      <color theme="0" tint="-4.9989318521683403E-2"/>
      <name val="Arial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rgb="FF351C75"/>
        <bgColor rgb="FF351C75"/>
      </patternFill>
    </fill>
    <fill>
      <patternFill patternType="solid">
        <fgColor rgb="FFB4A7D6"/>
        <bgColor rgb="FFB4A7D6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theme="7"/>
        <bgColor theme="7"/>
      </patternFill>
    </fill>
    <fill>
      <patternFill patternType="solid">
        <fgColor rgb="FF980000"/>
        <bgColor rgb="FF980000"/>
      </patternFill>
    </fill>
    <fill>
      <patternFill patternType="solid">
        <fgColor rgb="FFBF9000"/>
        <bgColor rgb="FFBF9000"/>
      </patternFill>
    </fill>
    <fill>
      <patternFill patternType="solid">
        <fgColor rgb="FF741B47"/>
        <bgColor rgb="FF741B47"/>
      </patternFill>
    </fill>
    <fill>
      <patternFill patternType="solid">
        <fgColor rgb="FF93C47D"/>
        <bgColor rgb="FF93C47D"/>
      </patternFill>
    </fill>
    <fill>
      <patternFill patternType="solid">
        <fgColor rgb="FFE06666"/>
        <bgColor rgb="FFE06666"/>
      </patternFill>
    </fill>
    <fill>
      <patternFill patternType="solid">
        <fgColor rgb="FFFFD966"/>
        <bgColor rgb="FFFFD966"/>
      </patternFill>
    </fill>
    <fill>
      <patternFill patternType="solid">
        <fgColor rgb="FFC27BA0"/>
        <bgColor rgb="FFC27BA0"/>
      </patternFill>
    </fill>
    <fill>
      <patternFill patternType="solid">
        <fgColor rgb="FFB6D7A8"/>
        <bgColor rgb="FFB6D7A8"/>
      </patternFill>
    </fill>
    <fill>
      <patternFill patternType="solid">
        <fgColor rgb="FFEA9999"/>
        <bgColor rgb="FFEA9999"/>
      </patternFill>
    </fill>
    <fill>
      <patternFill patternType="solid">
        <fgColor rgb="FFFFE599"/>
        <bgColor rgb="FFFFE599"/>
      </patternFill>
    </fill>
    <fill>
      <patternFill patternType="solid">
        <fgColor rgb="FFD5A6BD"/>
        <bgColor rgb="FFD5A6BD"/>
      </patternFill>
    </fill>
    <fill>
      <patternFill patternType="solid">
        <fgColor rgb="FF434343"/>
        <bgColor rgb="FF434343"/>
      </patternFill>
    </fill>
    <fill>
      <patternFill patternType="solid">
        <fgColor rgb="FFEFEFEF"/>
        <bgColor rgb="FFEFEFEF"/>
      </patternFill>
    </fill>
    <fill>
      <patternFill patternType="solid">
        <fgColor rgb="FF38761D"/>
        <bgColor rgb="FF38761D"/>
      </patternFill>
    </fill>
    <fill>
      <patternFill patternType="solid">
        <fgColor rgb="FF76A5AF"/>
        <bgColor rgb="FF76A5AF"/>
      </patternFill>
    </fill>
    <fill>
      <patternFill patternType="solid">
        <fgColor rgb="FFC59EE2"/>
        <bgColor rgb="FFC27BA0"/>
      </patternFill>
    </fill>
  </fills>
  <borders count="10"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6" fillId="0" borderId="0" applyFont="0" applyFill="0" applyBorder="0" applyAlignment="0" applyProtection="0"/>
    <xf numFmtId="9" fontId="16" fillId="0" borderId="0" applyFont="0" applyFill="0" applyBorder="0" applyAlignment="0" applyProtection="0"/>
  </cellStyleXfs>
  <cellXfs count="87">
    <xf numFmtId="0" fontId="0" fillId="0" borderId="0" xfId="0" applyFont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wrapText="1"/>
    </xf>
    <xf numFmtId="0" fontId="3" fillId="0" borderId="0" xfId="0" applyFont="1" applyAlignment="1">
      <alignment horizontal="right" vertical="center"/>
    </xf>
    <xf numFmtId="14" fontId="4" fillId="0" borderId="0" xfId="0" applyNumberFormat="1" applyFont="1" applyAlignment="1">
      <alignment horizontal="center" vertical="center"/>
    </xf>
    <xf numFmtId="0" fontId="5" fillId="0" borderId="0" xfId="0" applyFont="1"/>
    <xf numFmtId="0" fontId="6" fillId="3" borderId="0" xfId="0" applyFont="1" applyFill="1" applyAlignment="1">
      <alignment horizontal="right" vertical="center"/>
    </xf>
    <xf numFmtId="10" fontId="6" fillId="3" borderId="0" xfId="0" applyNumberFormat="1" applyFont="1" applyFill="1" applyAlignment="1">
      <alignment horizontal="left" vertical="center"/>
    </xf>
    <xf numFmtId="0" fontId="7" fillId="0" borderId="0" xfId="0" applyFont="1" applyAlignment="1">
      <alignment horizontal="right" vertical="center" wrapText="1"/>
    </xf>
    <xf numFmtId="0" fontId="2" fillId="0" borderId="0" xfId="0" applyFont="1" applyAlignment="1">
      <alignment horizontal="right" vertical="center"/>
    </xf>
    <xf numFmtId="0" fontId="6" fillId="4" borderId="0" xfId="0" applyFont="1" applyFill="1" applyAlignment="1">
      <alignment horizontal="right" vertical="center"/>
    </xf>
    <xf numFmtId="10" fontId="6" fillId="4" borderId="0" xfId="0" applyNumberFormat="1" applyFont="1" applyFill="1" applyAlignment="1">
      <alignment horizontal="left" vertical="center"/>
    </xf>
    <xf numFmtId="164" fontId="2" fillId="0" borderId="0" xfId="0" applyNumberFormat="1" applyFont="1"/>
    <xf numFmtId="0" fontId="6" fillId="4" borderId="0" xfId="0" applyFont="1" applyFill="1" applyAlignment="1">
      <alignment horizontal="right"/>
    </xf>
    <xf numFmtId="0" fontId="6" fillId="4" borderId="0" xfId="0" applyFont="1" applyFill="1" applyAlignment="1">
      <alignment horizontal="left"/>
    </xf>
    <xf numFmtId="0" fontId="2" fillId="5" borderId="0" xfId="0" applyFont="1" applyFill="1"/>
    <xf numFmtId="0" fontId="2" fillId="5" borderId="0" xfId="0" applyFont="1" applyFill="1" applyAlignment="1">
      <alignment horizontal="right"/>
    </xf>
    <xf numFmtId="0" fontId="2" fillId="5" borderId="0" xfId="0" applyFont="1" applyFill="1" applyAlignment="1">
      <alignment horizontal="right" vertical="center"/>
    </xf>
    <xf numFmtId="0" fontId="2" fillId="5" borderId="0" xfId="0" applyFont="1" applyFill="1" applyAlignment="1">
      <alignment vertical="center"/>
    </xf>
    <xf numFmtId="0" fontId="2" fillId="5" borderId="0" xfId="0" applyFont="1" applyFill="1" applyAlignment="1">
      <alignment wrapText="1"/>
    </xf>
    <xf numFmtId="0" fontId="5" fillId="5" borderId="0" xfId="0" applyFont="1" applyFill="1"/>
    <xf numFmtId="0" fontId="2" fillId="10" borderId="0" xfId="0" applyFont="1" applyFill="1" applyAlignment="1">
      <alignment horizontal="right"/>
    </xf>
    <xf numFmtId="164" fontId="2" fillId="10" borderId="0" xfId="0" applyNumberFormat="1" applyFont="1" applyFill="1" applyAlignment="1">
      <alignment horizontal="center" vertical="center"/>
    </xf>
    <xf numFmtId="0" fontId="2" fillId="11" borderId="0" xfId="0" applyFont="1" applyFill="1" applyAlignment="1">
      <alignment horizontal="right"/>
    </xf>
    <xf numFmtId="9" fontId="2" fillId="11" borderId="0" xfId="0" applyNumberFormat="1" applyFont="1" applyFill="1" applyAlignment="1">
      <alignment horizontal="right" vertical="center"/>
    </xf>
    <xf numFmtId="0" fontId="2" fillId="12" borderId="0" xfId="0" applyFont="1" applyFill="1" applyAlignment="1">
      <alignment horizontal="right"/>
    </xf>
    <xf numFmtId="164" fontId="2" fillId="12" borderId="0" xfId="0" applyNumberFormat="1" applyFont="1" applyFill="1" applyAlignment="1">
      <alignment horizontal="right"/>
    </xf>
    <xf numFmtId="0" fontId="8" fillId="13" borderId="0" xfId="0" applyFont="1" applyFill="1" applyAlignment="1">
      <alignment horizontal="center" vertical="center"/>
    </xf>
    <xf numFmtId="164" fontId="8" fillId="13" borderId="0" xfId="0" applyNumberFormat="1" applyFont="1" applyFill="1" applyAlignment="1">
      <alignment horizontal="center" vertical="center"/>
    </xf>
    <xf numFmtId="164" fontId="2" fillId="10" borderId="0" xfId="0" applyNumberFormat="1" applyFont="1" applyFill="1" applyAlignment="1">
      <alignment horizontal="center" vertical="center"/>
    </xf>
    <xf numFmtId="0" fontId="9" fillId="11" borderId="0" xfId="0" applyFont="1" applyFill="1" applyAlignment="1">
      <alignment horizontal="right"/>
    </xf>
    <xf numFmtId="164" fontId="2" fillId="14" borderId="0" xfId="0" applyNumberFormat="1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 wrapText="1"/>
    </xf>
    <xf numFmtId="0" fontId="2" fillId="17" borderId="0" xfId="0" applyFont="1" applyFill="1"/>
    <xf numFmtId="165" fontId="5" fillId="0" borderId="0" xfId="0" applyNumberFormat="1" applyFont="1"/>
    <xf numFmtId="0" fontId="2" fillId="16" borderId="0" xfId="0" applyFont="1" applyFill="1" applyAlignment="1">
      <alignment horizontal="center" vertical="center" wrapText="1"/>
    </xf>
    <xf numFmtId="165" fontId="11" fillId="0" borderId="0" xfId="0" applyNumberFormat="1" applyFont="1" applyAlignment="1">
      <alignment horizontal="center" vertical="center"/>
    </xf>
    <xf numFmtId="165" fontId="13" fillId="18" borderId="4" xfId="0" applyNumberFormat="1" applyFont="1" applyFill="1" applyBorder="1" applyAlignment="1">
      <alignment horizontal="center"/>
    </xf>
    <xf numFmtId="165" fontId="13" fillId="18" borderId="4" xfId="0" applyNumberFormat="1" applyFont="1" applyFill="1" applyBorder="1" applyAlignment="1">
      <alignment horizontal="center" wrapText="1"/>
    </xf>
    <xf numFmtId="165" fontId="13" fillId="0" borderId="0" xfId="0" applyNumberFormat="1" applyFont="1" applyAlignment="1">
      <alignment horizontal="center"/>
    </xf>
    <xf numFmtId="165" fontId="2" fillId="19" borderId="4" xfId="0" applyNumberFormat="1" applyFont="1" applyFill="1" applyBorder="1" applyAlignment="1">
      <alignment horizontal="center" vertical="center"/>
    </xf>
    <xf numFmtId="165" fontId="2" fillId="19" borderId="4" xfId="0" applyNumberFormat="1" applyFont="1" applyFill="1" applyBorder="1" applyAlignment="1">
      <alignment horizontal="center" vertical="center" wrapText="1"/>
    </xf>
    <xf numFmtId="164" fontId="2" fillId="19" borderId="4" xfId="0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64" fontId="2" fillId="19" borderId="5" xfId="0" applyNumberFormat="1" applyFont="1" applyFill="1" applyBorder="1" applyAlignment="1">
      <alignment horizontal="center" vertical="center"/>
    </xf>
    <xf numFmtId="0" fontId="6" fillId="20" borderId="6" xfId="0" applyFont="1" applyFill="1" applyBorder="1" applyAlignment="1">
      <alignment horizontal="center" vertical="center"/>
    </xf>
    <xf numFmtId="0" fontId="6" fillId="20" borderId="7" xfId="0" applyFont="1" applyFill="1" applyBorder="1" applyAlignment="1">
      <alignment horizontal="center" vertical="center"/>
    </xf>
    <xf numFmtId="166" fontId="6" fillId="20" borderId="7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14" fillId="0" borderId="0" xfId="0" applyFont="1" applyAlignment="1"/>
    <xf numFmtId="0" fontId="2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164" fontId="2" fillId="0" borderId="0" xfId="0" applyNumberFormat="1" applyFont="1" applyAlignment="1">
      <alignment vertical="center"/>
    </xf>
    <xf numFmtId="164" fontId="2" fillId="21" borderId="0" xfId="0" applyNumberFormat="1" applyFont="1" applyFill="1" applyAlignment="1">
      <alignment vertical="center"/>
    </xf>
    <xf numFmtId="0" fontId="2" fillId="14" borderId="0" xfId="0" applyFont="1" applyFill="1" applyAlignment="1">
      <alignment horizontal="left" vertical="center"/>
    </xf>
    <xf numFmtId="0" fontId="9" fillId="15" borderId="0" xfId="0" applyFont="1" applyFill="1" applyAlignment="1">
      <alignment horizontal="left" vertical="center"/>
    </xf>
    <xf numFmtId="165" fontId="9" fillId="15" borderId="0" xfId="0" applyNumberFormat="1" applyFont="1" applyFill="1" applyAlignment="1">
      <alignment horizontal="left" vertical="center"/>
    </xf>
    <xf numFmtId="0" fontId="2" fillId="15" borderId="0" xfId="0" applyFont="1" applyFill="1" applyAlignment="1">
      <alignment horizontal="left" vertical="center"/>
    </xf>
    <xf numFmtId="44" fontId="9" fillId="15" borderId="0" xfId="1" applyFont="1" applyFill="1" applyAlignment="1">
      <alignment horizontal="left" vertical="center"/>
    </xf>
    <xf numFmtId="44" fontId="2" fillId="15" borderId="0" xfId="1" applyFont="1" applyFill="1" applyAlignment="1">
      <alignment horizontal="left" vertical="center"/>
    </xf>
    <xf numFmtId="0" fontId="2" fillId="15" borderId="0" xfId="0" applyFont="1" applyFill="1" applyAlignment="1">
      <alignment horizontal="right" vertical="center"/>
    </xf>
    <xf numFmtId="9" fontId="2" fillId="16" borderId="0" xfId="2" applyFont="1" applyFill="1" applyAlignment="1">
      <alignment horizontal="center" vertical="center"/>
    </xf>
    <xf numFmtId="165" fontId="17" fillId="19" borderId="4" xfId="0" applyNumberFormat="1" applyFont="1" applyFill="1" applyBorder="1" applyAlignment="1">
      <alignment horizontal="center" vertical="center"/>
    </xf>
    <xf numFmtId="0" fontId="9" fillId="15" borderId="9" xfId="0" applyFont="1" applyFill="1" applyBorder="1" applyAlignment="1">
      <alignment horizontal="left" vertical="center"/>
    </xf>
    <xf numFmtId="44" fontId="9" fillId="15" borderId="9" xfId="1" applyFont="1" applyFill="1" applyBorder="1" applyAlignment="1">
      <alignment horizontal="left" vertical="center"/>
    </xf>
    <xf numFmtId="0" fontId="2" fillId="15" borderId="9" xfId="0" applyFont="1" applyFill="1" applyBorder="1" applyAlignment="1">
      <alignment horizontal="right" vertical="center"/>
    </xf>
    <xf numFmtId="0" fontId="2" fillId="11" borderId="0" xfId="0" applyFont="1" applyFill="1" applyAlignment="1">
      <alignment horizontal="center" vertical="center"/>
    </xf>
    <xf numFmtId="0" fontId="0" fillId="0" borderId="0" xfId="0" applyFont="1" applyAlignment="1"/>
    <xf numFmtId="0" fontId="2" fillId="1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165" fontId="11" fillId="9" borderId="2" xfId="0" applyNumberFormat="1" applyFont="1" applyFill="1" applyBorder="1" applyAlignment="1">
      <alignment horizontal="center" vertical="center"/>
    </xf>
    <xf numFmtId="165" fontId="11" fillId="9" borderId="1" xfId="0" applyNumberFormat="1" applyFont="1" applyFill="1" applyBorder="1" applyAlignment="1">
      <alignment horizontal="center" vertical="center"/>
    </xf>
    <xf numFmtId="165" fontId="11" fillId="9" borderId="3" xfId="0" applyNumberFormat="1" applyFont="1" applyFill="1" applyBorder="1" applyAlignment="1">
      <alignment horizontal="center" vertical="center"/>
    </xf>
    <xf numFmtId="0" fontId="6" fillId="20" borderId="7" xfId="0" applyFont="1" applyFill="1" applyBorder="1" applyAlignment="1">
      <alignment horizontal="center" vertical="center"/>
    </xf>
    <xf numFmtId="0" fontId="12" fillId="0" borderId="8" xfId="0" applyFont="1" applyBorder="1"/>
    <xf numFmtId="0" fontId="2" fillId="22" borderId="0" xfId="0" applyFont="1" applyFill="1" applyAlignment="1">
      <alignment horizontal="center" vertical="center"/>
    </xf>
    <xf numFmtId="44" fontId="9" fillId="11" borderId="0" xfId="1" applyFont="1" applyFill="1" applyAlignment="1">
      <alignment horizontal="right" vertical="center"/>
    </xf>
    <xf numFmtId="44" fontId="6" fillId="3" borderId="0" xfId="1" applyFont="1" applyFill="1" applyAlignment="1">
      <alignment horizontal="center" vertical="center"/>
    </xf>
    <xf numFmtId="44" fontId="6" fillId="4" borderId="0" xfId="1" applyFont="1" applyFill="1" applyAlignment="1">
      <alignment horizontal="center" vertical="center"/>
    </xf>
    <xf numFmtId="44" fontId="6" fillId="4" borderId="0" xfId="1" applyFont="1" applyFill="1" applyAlignment="1">
      <alignment horizontal="center"/>
    </xf>
    <xf numFmtId="44" fontId="10" fillId="17" borderId="0" xfId="1" applyFont="1" applyFill="1" applyAlignment="1">
      <alignment wrapText="1"/>
    </xf>
  </cellXfs>
  <cellStyles count="3">
    <cellStyle name="Moeda" xfId="1" builtinId="4"/>
    <cellStyle name="Normal" xfId="0" builtinId="0"/>
    <cellStyle name="Porcentagem" xfId="2" builtinId="5"/>
  </cellStyles>
  <dxfs count="13">
    <dxf>
      <font>
        <color rgb="FFFFFFFF"/>
      </font>
      <fill>
        <patternFill patternType="solid">
          <fgColor rgb="FFBF9000"/>
          <bgColor rgb="FFBF9000"/>
        </patternFill>
      </fill>
    </dxf>
    <dxf>
      <font>
        <color rgb="FFFFFFFF"/>
      </font>
      <fill>
        <patternFill patternType="solid">
          <fgColor rgb="FFB45F06"/>
          <bgColor rgb="FFB45F06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rgb="FFFF0000"/>
          <bgColor rgb="FFFF0000"/>
        </patternFill>
      </fill>
    </dxf>
    <dxf>
      <font>
        <b/>
        <color rgb="FFFFFFFF"/>
      </font>
      <fill>
        <patternFill patternType="solid">
          <fgColor rgb="FF660000"/>
          <bgColor rgb="FF660000"/>
        </patternFill>
      </fill>
    </dxf>
    <dxf>
      <font>
        <b/>
        <color rgb="FFFFFFFF"/>
      </font>
      <fill>
        <patternFill patternType="solid">
          <fgColor rgb="FF7F6000"/>
          <bgColor rgb="FF7F6000"/>
        </patternFill>
      </fill>
    </dxf>
    <dxf>
      <font>
        <b/>
        <color rgb="FFFFFFFF"/>
      </font>
      <fill>
        <patternFill patternType="solid">
          <fgColor theme="7"/>
          <bgColor theme="7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B3F86"/>
          <bgColor rgb="FF5B3F86"/>
        </patternFill>
      </fill>
    </dxf>
    <dxf>
      <border>
        <left style="thin">
          <color rgb="FF5B3F86"/>
        </left>
        <right style="thin">
          <color rgb="FF5B3F86"/>
        </right>
        <top style="thin">
          <color rgb="FF5B3F86"/>
        </top>
        <bottom style="thin">
          <color rgb="FF5B3F86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</dxfs>
  <tableStyles count="2">
    <tableStyle name="Budget Traker-style" pivot="0" count="2" xr9:uid="{00000000-0011-0000-FFFF-FFFF00000000}">
      <tableStyleElement type="firstRowStripe" dxfId="12"/>
      <tableStyleElement type="secondRowStripe" dxfId="11"/>
    </tableStyle>
    <tableStyle name="Previsão de Lucro do Banco-style" pivot="0" count="4" xr9:uid="{00000000-0011-0000-FFFF-FFFF01000000}">
      <tableStyleElement type="wholeTable" size="0" dxfId="10"/>
      <tableStyleElement type="headerRow" dxfId="9"/>
      <tableStyleElement type="firstRowStripe" dxfId="8"/>
      <tableStyleElement type="secondRowStripe" dxfId="7"/>
    </tableStyle>
  </tableStyles>
  <colors>
    <mruColors>
      <color rgb="FFC59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17/10/relationships/person" Target="persons/person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pt-BR" b="0">
                <a:solidFill>
                  <a:srgbClr val="757575"/>
                </a:solidFill>
                <a:latin typeface="+mn-lt"/>
              </a:rPr>
              <a:t>Restante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38761D"/>
              </a:solidFill>
            </c:spPr>
            <c:extLst>
              <c:ext xmlns:c16="http://schemas.microsoft.com/office/drawing/2014/chart" uri="{C3380CC4-5D6E-409C-BE32-E72D297353CC}">
                <c16:uniqueId val="{00000001-06E9-4CF6-88ED-5CC21D8C9E68}"/>
              </c:ext>
            </c:extLst>
          </c:dPt>
          <c:dPt>
            <c:idx val="1"/>
            <c:bubble3D val="0"/>
            <c:spPr>
              <a:solidFill>
                <a:srgbClr val="980000"/>
              </a:solidFill>
            </c:spPr>
            <c:extLst>
              <c:ext xmlns:c16="http://schemas.microsoft.com/office/drawing/2014/chart" uri="{C3380CC4-5D6E-409C-BE32-E72D297353CC}">
                <c16:uniqueId val="{00000003-06E9-4CF6-88ED-5CC21D8C9E68}"/>
              </c:ext>
            </c:extLst>
          </c:dPt>
          <c:dLbls>
            <c:dLbl>
              <c:idx val="0"/>
              <c:layout>
                <c:manualLayout>
                  <c:x val="-7.6407115777194518E-3"/>
                  <c:y val="4.1319235095613013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6E9-4CF6-88ED-5CC21D8C9E6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'Budget Traker'!$A$4:$A$5</c:f>
              <c:strCache>
                <c:ptCount val="2"/>
                <c:pt idx="0">
                  <c:v>Restante</c:v>
                </c:pt>
                <c:pt idx="1">
                  <c:v>Limite</c:v>
                </c:pt>
              </c:strCache>
            </c:strRef>
          </c:cat>
          <c:val>
            <c:numRef>
              <c:f>'Budget Traker'!$B$4:$B$5</c:f>
              <c:numCache>
                <c:formatCode>_("R$"* #,##0.00_);_("R$"* \(#,##0.00\);_("R$"* "-"??_);_(@_)</c:formatCode>
                <c:ptCount val="2"/>
                <c:pt idx="0">
                  <c:v>165.5992</c:v>
                </c:pt>
                <c:pt idx="1">
                  <c:v>698.28499999999997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E9-4CF6-88ED-5CC21D8C9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rgbClr val="FFFFFF">
        <a:alpha val="0"/>
      </a:srgbClr>
    </a:solidFill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pt-BR" b="0">
                <a:solidFill>
                  <a:srgbClr val="757575"/>
                </a:solidFill>
                <a:latin typeface="+mn-lt"/>
              </a:rPr>
              <a:t>Categoria x Gastos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'Budget Traker'!$J$11</c:f>
              <c:strCache>
                <c:ptCount val="1"/>
                <c:pt idx="0">
                  <c:v>Atual</c:v>
                </c:pt>
              </c:strCache>
            </c:strRef>
          </c:tx>
          <c:dPt>
            <c:idx val="0"/>
            <c:bubble3D val="0"/>
            <c:spPr>
              <a:solidFill>
                <a:srgbClr val="1155CC"/>
              </a:solidFill>
            </c:spPr>
            <c:extLst>
              <c:ext xmlns:c16="http://schemas.microsoft.com/office/drawing/2014/chart" uri="{C3380CC4-5D6E-409C-BE32-E72D297353CC}">
                <c16:uniqueId val="{00000001-4B77-4991-8DC1-1702637FBE27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'Budget Traker'!$K$11</c:f>
              <c:numCache>
                <c:formatCode>[$R$ -416]#,##0.00</c:formatCode>
                <c:ptCount val="1"/>
                <c:pt idx="0">
                  <c:v>388.43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77-4991-8DC1-1702637FB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spPr>
    <a:solidFill>
      <a:srgbClr val="FFFFFF">
        <a:alpha val="0"/>
      </a:srgbClr>
    </a:solidFill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pt-BR" b="0">
                <a:solidFill>
                  <a:srgbClr val="757575"/>
                </a:solidFill>
                <a:latin typeface="+mn-lt"/>
              </a:rPr>
              <a:t>Crédito Privado + Selic =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'Previsão de Lucro do Banco'!$A$5</c:f>
              <c:strCache>
                <c:ptCount val="1"/>
                <c:pt idx="0">
                  <c:v>Crédito + Selic =</c:v>
                </c:pt>
              </c:strCache>
            </c:strRef>
          </c:tx>
          <c:spPr>
            <a:solidFill>
              <a:srgbClr val="93C47D"/>
            </a:solidFill>
            <a:ln cmpd="sng">
              <a:solidFill>
                <a:srgbClr val="000000"/>
              </a:solidFill>
            </a:ln>
          </c:spPr>
          <c:invertIfNegative val="1"/>
          <c:trendline>
            <c:name>Linha de tendência para Crédito + Selic =</c:name>
            <c:spPr>
              <a:ln w="19050">
                <a:solidFill>
                  <a:srgbClr val="4A86E8">
                    <a:alpha val="40000"/>
                  </a:srgbClr>
                </a:solidFill>
              </a:ln>
            </c:spPr>
            <c:trendlineType val="linear"/>
            <c:dispRSqr val="0"/>
            <c:dispEq val="0"/>
          </c:trendline>
          <c:cat>
            <c:strRef>
              <c:f>'Previsão de Lucro do Banco'!$B$4:$M$4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'Previsão de Lucro do Banco'!$B$5:$M$5</c:f>
              <c:numCache>
                <c:formatCode>[$R$ -416]#,##0.00</c:formatCode>
                <c:ptCount val="12"/>
                <c:pt idx="0">
                  <c:v>1097.03</c:v>
                </c:pt>
                <c:pt idx="1">
                  <c:v>1237.27</c:v>
                </c:pt>
                <c:pt idx="2">
                  <c:v>1392.892272</c:v>
                </c:pt>
                <c:pt idx="3">
                  <c:v>1550.3197623552003</c:v>
                </c:pt>
                <c:pt idx="4">
                  <c:v>1709.5734115985208</c:v>
                </c:pt>
                <c:pt idx="5">
                  <c:v>1870.6744031730639</c:v>
                </c:pt>
                <c:pt idx="6">
                  <c:v>2033.6441662498717</c:v>
                </c:pt>
                <c:pt idx="7">
                  <c:v>2198.5043785783701</c:v>
                </c:pt>
                <c:pt idx="8">
                  <c:v>2365.2769693698792</c:v>
                </c:pt>
                <c:pt idx="9">
                  <c:v>2533.9841222145701</c:v>
                </c:pt>
                <c:pt idx="10">
                  <c:v>2704.6482780322594</c:v>
                </c:pt>
                <c:pt idx="11">
                  <c:v>2877.2921380574339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93D3-4B28-8227-6B0C874C4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6946337"/>
        <c:axId val="932015707"/>
      </c:barChart>
      <c:catAx>
        <c:axId val="108694633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pt-BR" b="0">
                    <a:solidFill>
                      <a:srgbClr val="000000"/>
                    </a:solidFill>
                    <a:latin typeface="+mn-lt"/>
                  </a:rPr>
                  <a:t>2026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932015707"/>
        <c:crosses val="autoZero"/>
        <c:auto val="1"/>
        <c:lblAlgn val="ctr"/>
        <c:lblOffset val="100"/>
        <c:noMultiLvlLbl val="1"/>
      </c:catAx>
      <c:valAx>
        <c:axId val="932015707"/>
        <c:scaling>
          <c:orientation val="minMax"/>
        </c:scaling>
        <c:delete val="0"/>
        <c:axPos val="l"/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pt-BR" b="0">
                    <a:solidFill>
                      <a:srgbClr val="000000"/>
                    </a:solidFill>
                    <a:latin typeface="+mn-lt"/>
                  </a:rPr>
                  <a:t>Crédito + Selic =</a:t>
                </a:r>
              </a:p>
            </c:rich>
          </c:tx>
          <c:overlay val="0"/>
        </c:title>
        <c:numFmt formatCode="[$R$ -416]#,##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086946337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CheckBox" fmlaLink="B3" lockText="1" noThreeD="1"/>
</file>

<file path=xl/ctrlProps/ctrlProp2.xml><?xml version="1.0" encoding="utf-8"?>
<formControlPr xmlns="http://schemas.microsoft.com/office/spreadsheetml/2009/9/main" objectType="CheckBox" checked="Checked" fmlaLink="$B$4" lockText="1" noThreeD="1"/>
</file>

<file path=xl/ctrlProps/ctrlProp3.xml><?xml version="1.0" encoding="utf-8"?>
<formControlPr xmlns="http://schemas.microsoft.com/office/spreadsheetml/2009/9/main" objectType="CheckBox" fmlaLink="$B$5" lockText="1" noThreeD="1"/>
</file>

<file path=xl/ctrlProps/ctrlProp4.xml><?xml version="1.0" encoding="utf-8"?>
<formControlPr xmlns="http://schemas.microsoft.com/office/spreadsheetml/2009/9/main" objectType="CheckBox" fmlaLink="$B$6" lockText="1" noThreeD="1"/>
</file>

<file path=xl/ctrlProps/ctrlProp5.xml><?xml version="1.0" encoding="utf-8"?>
<formControlPr xmlns="http://schemas.microsoft.com/office/spreadsheetml/2009/9/main" objectType="CheckBox" checked="Checked" fmlaLink="$B$7" lockText="1" noThreeD="1"/>
</file>

<file path=xl/ctrlProps/ctrlProp6.xml><?xml version="1.0" encoding="utf-8"?>
<formControlPr xmlns="http://schemas.microsoft.com/office/spreadsheetml/2009/9/main" objectType="CheckBox" fmlaLink="$B$8" lockText="1" noThreeD="1"/>
</file>

<file path=xl/ctrlProps/ctrlProp7.xml><?xml version="1.0" encoding="utf-8"?>
<formControlPr xmlns="http://schemas.microsoft.com/office/spreadsheetml/2009/9/main" objectType="CheckBox" fmlaLink="$B$9" lockText="1" noThreeD="1"/>
</file>

<file path=xl/ctrlProps/ctrlProp8.xml><?xml version="1.0" encoding="utf-8"?>
<formControlPr xmlns="http://schemas.microsoft.com/office/spreadsheetml/2009/9/main" objectType="CheckBox" fmlaLink="$B$10" lockText="1" noThreeD="1"/>
</file>

<file path=xl/ctrlProps/ctrlProp9.xml><?xml version="1.0" encoding="utf-8"?>
<formControlPr xmlns="http://schemas.microsoft.com/office/spreadsheetml/2009/9/main" objectType="CheckBox" fmlaLink="$B$11" lockText="1" noThreeD="1"/>
</file>

<file path=xl/ctrlProps/ctrlProp10.xml><?xml version="1.0" encoding="utf-8"?>
<formControlPr xmlns="http://schemas.microsoft.com/office/spreadsheetml/2009/9/main" objectType="CheckBox" fmlaLink="$B$12" lockText="1" noThreeD="1"/>
</file>

<file path=xl/ctrlProps/ctrlProp11.xml><?xml version="1.0" encoding="utf-8"?>
<formControlPr xmlns="http://schemas.microsoft.com/office/spreadsheetml/2009/9/main" objectType="CheckBox" fmlaLink="$B$13" lockText="1" noThreeD="1"/>
</file>

<file path=xl/ctrlProps/ctrlProp12.xml><?xml version="1.0" encoding="utf-8"?>
<formControlPr xmlns="http://schemas.microsoft.com/office/spreadsheetml/2009/9/main" objectType="CheckBox" fmlaLink="$B$14" lockText="1" noThreeD="1"/>
</file>

<file path=xl/ctrlProps/ctrlProp13.xml><?xml version="1.0" encoding="utf-8"?>
<formControlPr xmlns="http://schemas.microsoft.com/office/spreadsheetml/2009/9/main" objectType="CheckBox" fmlaLink="$B$15" lockText="1" noThreeD="1"/>
</file>

<file path=xl/ctrlProps/ctrlProp14.xml><?xml version="1.0" encoding="utf-8"?>
<formControlPr xmlns="http://schemas.microsoft.com/office/spreadsheetml/2009/9/main" objectType="CheckBox" fmlaLink="$B$16" lockText="1" noThreeD="1"/>
</file>

<file path=xl/ctrlProps/ctrlProp15.xml><?xml version="1.0" encoding="utf-8"?>
<formControlPr xmlns="http://schemas.microsoft.com/office/spreadsheetml/2009/9/main" objectType="CheckBox" fmlaLink="$B$17" lockText="1" noThreeD="1"/>
</file>

<file path=xl/ctrlProps/ctrlProp16.xml><?xml version="1.0" encoding="utf-8"?>
<formControlPr xmlns="http://schemas.microsoft.com/office/spreadsheetml/2009/9/main" objectType="CheckBox" fmlaLink="$B$18" lockText="1" noThreeD="1"/>
</file>

<file path=xl/ctrlProps/ctrlProp17.xml><?xml version="1.0" encoding="utf-8"?>
<formControlPr xmlns="http://schemas.microsoft.com/office/spreadsheetml/2009/9/main" objectType="CheckBox" fmlaLink="$B$19" lockText="1" noThreeD="1"/>
</file>

<file path=xl/ctrlProps/ctrlProp18.xml><?xml version="1.0" encoding="utf-8"?>
<formControlPr xmlns="http://schemas.microsoft.com/office/spreadsheetml/2009/9/main" objectType="CheckBox" fmlaLink="$B$20" lockText="1" noThreeD="1"/>
</file>

<file path=xl/ctrlProps/ctrlProp19.xml><?xml version="1.0" encoding="utf-8"?>
<formControlPr xmlns="http://schemas.microsoft.com/office/spreadsheetml/2009/9/main" objectType="CheckBox" fmlaLink="$B$21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1538080</xdr:colOff>
      <xdr:row>0</xdr:row>
      <xdr:rowOff>224045</xdr:rowOff>
    </xdr:from>
    <xdr:ext cx="2657475" cy="1666875"/>
    <xdr:graphicFrame macro="">
      <xdr:nvGraphicFramePr>
        <xdr:cNvPr id="2" name="Chart 1" title="Restant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5</xdr:col>
      <xdr:colOff>559904</xdr:colOff>
      <xdr:row>0</xdr:row>
      <xdr:rowOff>213278</xdr:rowOff>
    </xdr:from>
    <xdr:ext cx="2124075" cy="1666875"/>
    <xdr:graphicFrame macro="">
      <xdr:nvGraphicFramePr>
        <xdr:cNvPr id="3" name="Chart 2" title="Categoria x Gastos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</xdr:col>
      <xdr:colOff>47625</xdr:colOff>
      <xdr:row>10</xdr:row>
      <xdr:rowOff>47625</xdr:rowOff>
    </xdr:from>
    <xdr:ext cx="561975" cy="314325"/>
    <xdr:sp macro="[0]!Limpar_Dados_e_Checkboxes" textlink="">
      <xdr:nvSpPr>
        <xdr:cNvPr id="4" name="Shap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800225" y="2305050"/>
          <a:ext cx="561975" cy="314325"/>
        </a:xfrm>
        <a:prstGeom prst="roundRect">
          <a:avLst>
            <a:gd name="adj" fmla="val 16667"/>
          </a:avLst>
        </a:prstGeom>
        <a:solidFill>
          <a:srgbClr val="980000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pt-BR" sz="1200">
              <a:solidFill>
                <a:srgbClr val="FFFFFF"/>
              </a:solidFill>
              <a:latin typeface="Times New Roman"/>
              <a:ea typeface="Times New Roman"/>
              <a:cs typeface="Times New Roman"/>
              <a:sym typeface="Times New Roman"/>
            </a:rPr>
            <a:t>Clear</a:t>
          </a:r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2</xdr:row>
          <xdr:rowOff>76200</xdr:rowOff>
        </xdr:from>
        <xdr:to>
          <xdr:col>1</xdr:col>
          <xdr:colOff>581025</xdr:colOff>
          <xdr:row>2</xdr:row>
          <xdr:rowOff>295275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3</xdr:row>
          <xdr:rowOff>0</xdr:rowOff>
        </xdr:from>
        <xdr:to>
          <xdr:col>1</xdr:col>
          <xdr:colOff>581025</xdr:colOff>
          <xdr:row>4</xdr:row>
          <xdr:rowOff>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4</xdr:row>
          <xdr:rowOff>0</xdr:rowOff>
        </xdr:from>
        <xdr:to>
          <xdr:col>1</xdr:col>
          <xdr:colOff>581025</xdr:colOff>
          <xdr:row>5</xdr:row>
          <xdr:rowOff>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5</xdr:row>
          <xdr:rowOff>0</xdr:rowOff>
        </xdr:from>
        <xdr:to>
          <xdr:col>1</xdr:col>
          <xdr:colOff>581025</xdr:colOff>
          <xdr:row>6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6</xdr:row>
          <xdr:rowOff>0</xdr:rowOff>
        </xdr:from>
        <xdr:to>
          <xdr:col>1</xdr:col>
          <xdr:colOff>581025</xdr:colOff>
          <xdr:row>7</xdr:row>
          <xdr:rowOff>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7</xdr:row>
          <xdr:rowOff>0</xdr:rowOff>
        </xdr:from>
        <xdr:to>
          <xdr:col>1</xdr:col>
          <xdr:colOff>581025</xdr:colOff>
          <xdr:row>8</xdr:row>
          <xdr:rowOff>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8</xdr:row>
          <xdr:rowOff>0</xdr:rowOff>
        </xdr:from>
        <xdr:to>
          <xdr:col>1</xdr:col>
          <xdr:colOff>581025</xdr:colOff>
          <xdr:row>9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9</xdr:row>
          <xdr:rowOff>0</xdr:rowOff>
        </xdr:from>
        <xdr:to>
          <xdr:col>1</xdr:col>
          <xdr:colOff>581025</xdr:colOff>
          <xdr:row>10</xdr:row>
          <xdr:rowOff>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10</xdr:row>
          <xdr:rowOff>114300</xdr:rowOff>
        </xdr:from>
        <xdr:to>
          <xdr:col>1</xdr:col>
          <xdr:colOff>581025</xdr:colOff>
          <xdr:row>10</xdr:row>
          <xdr:rowOff>333375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10</xdr:row>
          <xdr:rowOff>476250</xdr:rowOff>
        </xdr:from>
        <xdr:to>
          <xdr:col>1</xdr:col>
          <xdr:colOff>581025</xdr:colOff>
          <xdr:row>11</xdr:row>
          <xdr:rowOff>209550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11</xdr:row>
          <xdr:rowOff>209550</xdr:rowOff>
        </xdr:from>
        <xdr:to>
          <xdr:col>1</xdr:col>
          <xdr:colOff>581025</xdr:colOff>
          <xdr:row>12</xdr:row>
          <xdr:rowOff>209550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12</xdr:row>
          <xdr:rowOff>209550</xdr:rowOff>
        </xdr:from>
        <xdr:to>
          <xdr:col>1</xdr:col>
          <xdr:colOff>581025</xdr:colOff>
          <xdr:row>13</xdr:row>
          <xdr:rowOff>209550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13</xdr:row>
          <xdr:rowOff>209550</xdr:rowOff>
        </xdr:from>
        <xdr:to>
          <xdr:col>1</xdr:col>
          <xdr:colOff>581025</xdr:colOff>
          <xdr:row>14</xdr:row>
          <xdr:rowOff>209550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14</xdr:row>
          <xdr:rowOff>209550</xdr:rowOff>
        </xdr:from>
        <xdr:to>
          <xdr:col>1</xdr:col>
          <xdr:colOff>581025</xdr:colOff>
          <xdr:row>15</xdr:row>
          <xdr:rowOff>209550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15</xdr:row>
          <xdr:rowOff>209550</xdr:rowOff>
        </xdr:from>
        <xdr:to>
          <xdr:col>1</xdr:col>
          <xdr:colOff>581025</xdr:colOff>
          <xdr:row>16</xdr:row>
          <xdr:rowOff>209550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16</xdr:row>
          <xdr:rowOff>209550</xdr:rowOff>
        </xdr:from>
        <xdr:to>
          <xdr:col>1</xdr:col>
          <xdr:colOff>581025</xdr:colOff>
          <xdr:row>17</xdr:row>
          <xdr:rowOff>209550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17</xdr:row>
          <xdr:rowOff>209550</xdr:rowOff>
        </xdr:from>
        <xdr:to>
          <xdr:col>1</xdr:col>
          <xdr:colOff>581025</xdr:colOff>
          <xdr:row>18</xdr:row>
          <xdr:rowOff>209550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18</xdr:row>
          <xdr:rowOff>209550</xdr:rowOff>
        </xdr:from>
        <xdr:to>
          <xdr:col>1</xdr:col>
          <xdr:colOff>581025</xdr:colOff>
          <xdr:row>19</xdr:row>
          <xdr:rowOff>209550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19</xdr:row>
          <xdr:rowOff>209550</xdr:rowOff>
        </xdr:from>
        <xdr:to>
          <xdr:col>1</xdr:col>
          <xdr:colOff>581025</xdr:colOff>
          <xdr:row>20</xdr:row>
          <xdr:rowOff>209550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66675</xdr:colOff>
      <xdr:row>5</xdr:row>
      <xdr:rowOff>57150</xdr:rowOff>
    </xdr:from>
    <xdr:ext cx="5715000" cy="3533775"/>
    <xdr:graphicFrame macro="">
      <xdr:nvGraphicFramePr>
        <xdr:cNvPr id="3" name="Chart 3" title="Gráfic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persons/person.xml><?xml version="1.0" encoding="utf-8"?>
<x18tc:personList xmlns:x18tc="http://schemas.microsoft.com/office/spreadsheetml/2018/threadedcomments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K12:K26" headerRowCount="0">
  <tableColumns count="1">
    <tableColumn id="1" xr3:uid="{00000000-0010-0000-0000-000001000000}" name="Column1"/>
  </tableColumns>
  <tableStyleInfo name="Budget Traker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Rendimentos_Banco" displayName="Rendimentos_Banco" ref="A4:M5">
  <tableColumns count="13">
    <tableColumn id="1" xr3:uid="{00000000-0010-0000-0100-000001000000}" name="2026"/>
    <tableColumn id="2" xr3:uid="{00000000-0010-0000-0100-000002000000}" name="Janeiro"/>
    <tableColumn id="3" xr3:uid="{00000000-0010-0000-0100-000003000000}" name="Fevereiro"/>
    <tableColumn id="4" xr3:uid="{00000000-0010-0000-0100-000004000000}" name="Março"/>
    <tableColumn id="5" xr3:uid="{00000000-0010-0000-0100-000005000000}" name="Abril"/>
    <tableColumn id="6" xr3:uid="{00000000-0010-0000-0100-000006000000}" name="Maio"/>
    <tableColumn id="7" xr3:uid="{00000000-0010-0000-0100-000007000000}" name="Junho"/>
    <tableColumn id="8" xr3:uid="{00000000-0010-0000-0100-000008000000}" name="Julho"/>
    <tableColumn id="9" xr3:uid="{00000000-0010-0000-0100-000009000000}" name="Agosto"/>
    <tableColumn id="10" xr3:uid="{00000000-0010-0000-0100-00000A000000}" name="Setembro"/>
    <tableColumn id="11" xr3:uid="{00000000-0010-0000-0100-00000B000000}" name="Outubro"/>
    <tableColumn id="12" xr3:uid="{00000000-0010-0000-0100-00000C000000}" name="Novembro"/>
    <tableColumn id="13" xr3:uid="{00000000-0010-0000-0100-00000D000000}" name="Dezembro"/>
  </tableColumns>
  <tableStyleInfo name="Previsão de Lucro do Banco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K41"/>
  <sheetViews>
    <sheetView showGridLines="0" tabSelected="1" zoomScale="115" zoomScaleNormal="115" workbookViewId="0">
      <selection activeCell="C19" sqref="C19"/>
    </sheetView>
  </sheetViews>
  <sheetFormatPr defaultColWidth="0" defaultRowHeight="15.75" customHeight="1" zeroHeight="1"/>
  <cols>
    <col min="1" max="1" width="16.5703125" customWidth="1"/>
    <col min="2" max="2" width="11" bestFit="1" customWidth="1"/>
    <col min="3" max="3" width="24.28515625" bestFit="1" customWidth="1"/>
    <col min="4" max="4" width="11" customWidth="1"/>
    <col min="5" max="5" width="15.28515625" bestFit="1" customWidth="1"/>
    <col min="6" max="6" width="19.5703125" customWidth="1"/>
    <col min="7" max="7" width="11" bestFit="1" customWidth="1"/>
    <col min="8" max="8" width="14.140625" bestFit="1" customWidth="1"/>
    <col min="9" max="9" width="3.140625" customWidth="1"/>
    <col min="10" max="10" width="24.28515625" bestFit="1" customWidth="1"/>
    <col min="11" max="11" width="14.28515625" bestFit="1" customWidth="1"/>
    <col min="12" max="16384" width="12.5703125" hidden="1"/>
  </cols>
  <sheetData>
    <row r="1" spans="1:11" ht="22.5" customHeight="1">
      <c r="A1" s="70"/>
      <c r="B1" s="68"/>
      <c r="C1" s="68"/>
      <c r="D1" s="68"/>
      <c r="E1" s="68"/>
      <c r="F1" s="68"/>
      <c r="G1" s="68"/>
      <c r="H1" s="68"/>
      <c r="I1" s="68"/>
      <c r="J1" s="68"/>
      <c r="K1" s="68"/>
    </row>
    <row r="2" spans="1:11" ht="22.5" customHeight="1">
      <c r="A2" s="70" t="s">
        <v>0</v>
      </c>
      <c r="B2" s="68"/>
      <c r="C2" s="68"/>
      <c r="D2" s="1"/>
      <c r="E2" s="2"/>
      <c r="H2" s="3"/>
      <c r="J2" s="4" t="s">
        <v>1</v>
      </c>
      <c r="K2" s="5">
        <f ca="1">TODAY()</f>
        <v>46076</v>
      </c>
    </row>
    <row r="3" spans="1:11" ht="16.5">
      <c r="A3" s="7" t="s">
        <v>2</v>
      </c>
      <c r="B3" s="83">
        <f>SUM(D13:D35)</f>
        <v>532.68579999999997</v>
      </c>
      <c r="C3" s="8">
        <f>B3/B12</f>
        <v>0.37513084507042249</v>
      </c>
      <c r="D3" s="1"/>
      <c r="E3" s="2"/>
      <c r="H3" s="3"/>
      <c r="J3" s="9" t="s">
        <v>3</v>
      </c>
      <c r="K3" s="5">
        <f ca="1">DATE(YEAR(TODAY()), MONTH(TODAY()), 5)</f>
        <v>46058</v>
      </c>
    </row>
    <row r="4" spans="1:11" ht="12.75">
      <c r="A4" s="7" t="s">
        <v>4</v>
      </c>
      <c r="B4" s="83">
        <f>B5-B3</f>
        <v>165.5992</v>
      </c>
      <c r="C4" s="8">
        <f>B3/B5</f>
        <v>0.76284869358499752</v>
      </c>
      <c r="D4" s="10"/>
      <c r="E4" s="2"/>
      <c r="H4" s="3"/>
      <c r="K4" s="6"/>
    </row>
    <row r="5" spans="1:11" ht="12.75">
      <c r="A5" s="11" t="s">
        <v>5</v>
      </c>
      <c r="B5" s="84">
        <f>(B12-G12)/1.2</f>
        <v>698.28499999999997</v>
      </c>
      <c r="C5" s="12">
        <f>B5/B12</f>
        <v>0.49174999999999996</v>
      </c>
      <c r="D5" s="10"/>
      <c r="E5" s="2"/>
      <c r="H5" s="3"/>
      <c r="K5" s="6"/>
    </row>
    <row r="6" spans="1:11" ht="12.75">
      <c r="A6" s="7" t="s">
        <v>6</v>
      </c>
      <c r="B6" s="71" t="str">
        <f>IF(SUM($D$13:$D$35)&lt;=$B$5*0.25,"BOM",
IF(SUM($D$13:$D$35)&lt;=$B$5*0.5,"MODERADO",
IF(SUM($D$13:$D$35)&lt;=$B$5*1,"ALTO",
"ACIMA DO LIMITE")))</f>
        <v>ALTO</v>
      </c>
      <c r="C6" s="68"/>
      <c r="D6" s="10"/>
      <c r="E6" s="2"/>
      <c r="H6" s="3"/>
      <c r="J6" s="13"/>
      <c r="K6" s="6"/>
    </row>
    <row r="7" spans="1:11" ht="12.75">
      <c r="A7" s="14" t="s">
        <v>7</v>
      </c>
      <c r="B7" s="85">
        <f>D12</f>
        <v>639.22295999999994</v>
      </c>
      <c r="C7" s="15" t="s">
        <v>8</v>
      </c>
      <c r="D7" s="10"/>
      <c r="E7" s="2"/>
      <c r="H7" s="3"/>
      <c r="J7" s="13"/>
      <c r="K7" s="6"/>
    </row>
    <row r="8" spans="1:11" ht="12.75">
      <c r="A8" s="16"/>
      <c r="B8" s="17"/>
      <c r="C8" s="16"/>
      <c r="D8" s="18"/>
      <c r="E8" s="19"/>
      <c r="F8" s="16"/>
      <c r="G8" s="16"/>
      <c r="H8" s="20"/>
      <c r="I8" s="16"/>
      <c r="J8" s="16"/>
      <c r="K8" s="21"/>
    </row>
    <row r="9" spans="1:11" ht="12.75">
      <c r="A9" s="16"/>
      <c r="B9" s="17"/>
      <c r="C9" s="16"/>
      <c r="D9" s="18"/>
      <c r="E9" s="19"/>
      <c r="F9" s="16"/>
      <c r="G9" s="16"/>
      <c r="H9" s="20"/>
      <c r="I9" s="16"/>
      <c r="J9" s="16"/>
      <c r="K9" s="21"/>
    </row>
    <row r="10" spans="1:11" ht="26.25" customHeight="1">
      <c r="A10" s="72" t="s">
        <v>9</v>
      </c>
      <c r="B10" s="68"/>
      <c r="C10" s="73" t="s">
        <v>10</v>
      </c>
      <c r="D10" s="68"/>
      <c r="E10" s="68"/>
      <c r="F10" s="74" t="s">
        <v>11</v>
      </c>
      <c r="G10" s="68"/>
      <c r="H10" s="68"/>
      <c r="J10" s="75" t="s">
        <v>12</v>
      </c>
      <c r="K10" s="68"/>
    </row>
    <row r="11" spans="1:11" ht="18">
      <c r="A11" s="22" t="s">
        <v>13</v>
      </c>
      <c r="B11" s="23">
        <v>6400</v>
      </c>
      <c r="C11" s="24" t="s">
        <v>14</v>
      </c>
      <c r="D11" s="25">
        <v>1.2</v>
      </c>
      <c r="E11" s="67" t="s">
        <v>15</v>
      </c>
      <c r="F11" s="26" t="s">
        <v>16</v>
      </c>
      <c r="G11" s="27">
        <f t="shared" ref="G11:G12" si="0">B11*40.99%</f>
        <v>2623.36</v>
      </c>
      <c r="H11" s="69" t="s">
        <v>15</v>
      </c>
      <c r="J11" s="28" t="s">
        <v>17</v>
      </c>
      <c r="K11" s="29">
        <f>SUM(K13:K26)</f>
        <v>388.43</v>
      </c>
    </row>
    <row r="12" spans="1:11" ht="18">
      <c r="A12" s="22" t="s">
        <v>17</v>
      </c>
      <c r="B12" s="30">
        <f>SUM(B13:B35)</f>
        <v>1420</v>
      </c>
      <c r="C12" s="31" t="s">
        <v>18</v>
      </c>
      <c r="D12" s="82">
        <f>(SUM(D13:D35)*D11)</f>
        <v>639.22295999999994</v>
      </c>
      <c r="E12" s="68"/>
      <c r="F12" s="26" t="s">
        <v>19</v>
      </c>
      <c r="G12" s="27">
        <f t="shared" si="0"/>
        <v>582.05800000000011</v>
      </c>
      <c r="H12" s="68"/>
      <c r="J12" s="81" t="s">
        <v>20</v>
      </c>
      <c r="K12" s="29"/>
    </row>
    <row r="13" spans="1:11" ht="12.75">
      <c r="A13" s="55" t="s">
        <v>21</v>
      </c>
      <c r="B13" s="32">
        <v>1420</v>
      </c>
      <c r="C13" s="56" t="s">
        <v>22</v>
      </c>
      <c r="D13" s="59">
        <v>58.205800000000011</v>
      </c>
      <c r="E13" s="61" t="s">
        <v>23</v>
      </c>
      <c r="F13" s="33" t="s">
        <v>24</v>
      </c>
      <c r="G13" s="62">
        <v>0.25</v>
      </c>
      <c r="H13" s="33" t="s">
        <v>25</v>
      </c>
      <c r="J13" s="34" t="str" cm="1">
        <f t="array" ref="J13">IFERROR(
  INDEX(
    $C$13:$C$35,
    _xlfn.AGGREGATE(
      15,6,
      (ROW($C$13:$C$35)-ROW($C$13)+1)/
      ($E$13:$E$35=$J$12),
      ROW(A1)
    )
  ),
  ""
)</f>
        <v>Antecipação da Gran Conc.</v>
      </c>
      <c r="K13" s="86" cm="1">
        <f t="array" ref="K13">IFERROR(
  INDEX(
    $D$13:$D$35,
    _xlfn.AGGREGATE(
      15,6,
      (ROW($D$13:$D$35)-ROW($D$13)+1)/
      ($E$13:$E$35=$J$12),
      ROW(A1)
    )
  ),
  0
)</f>
        <v>148.65</v>
      </c>
    </row>
    <row r="14" spans="1:11" ht="12.75">
      <c r="A14" s="55"/>
      <c r="B14" s="32">
        <v>0</v>
      </c>
      <c r="C14" s="57" t="s">
        <v>27</v>
      </c>
      <c r="D14" s="59">
        <v>148.65</v>
      </c>
      <c r="E14" s="61" t="s">
        <v>20</v>
      </c>
      <c r="F14" s="33" t="s">
        <v>26</v>
      </c>
      <c r="G14" s="62">
        <v>0.25</v>
      </c>
      <c r="H14" s="33" t="s">
        <v>25</v>
      </c>
      <c r="J14" s="34" t="str" cm="1">
        <f t="array" ref="J14">IFERROR(
  INDEX(
    $C$13:$C$35,
    _xlfn.AGGREGATE(
      15,6,
      (ROW($C$13:$C$35)-ROW($C$13)+1)/
      ($E$13:$E$35=$J$12),
      ROW(A2)
    )
  ),
  ""
)</f>
        <v xml:space="preserve">Gran Concursos </v>
      </c>
      <c r="K14" s="86" cm="1">
        <f t="array" ref="K14">IFERROR(
  INDEX(
    $D$13:$D$35,
    _xlfn.AGGREGATE(
      15,6,
      (ROW($D$13:$D$35)-ROW($D$13)+1)/
      ($E$13:$E$35=$J$12),
      ROW(A2)
    )
  ),
  0
)</f>
        <v>149.9</v>
      </c>
    </row>
    <row r="15" spans="1:11" ht="12.75">
      <c r="A15" s="55"/>
      <c r="B15" s="32">
        <v>0</v>
      </c>
      <c r="C15" s="56" t="s">
        <v>32</v>
      </c>
      <c r="D15" s="59">
        <v>149.9</v>
      </c>
      <c r="E15" s="61" t="s">
        <v>20</v>
      </c>
      <c r="F15" s="33" t="s">
        <v>28</v>
      </c>
      <c r="G15" s="62">
        <v>0.5</v>
      </c>
      <c r="H15" s="33" t="s">
        <v>25</v>
      </c>
      <c r="J15" s="34" t="str" cm="1">
        <f t="array" ref="J15">IFERROR(
  INDEX(
    $C$13:$C$35,
    _xlfn.AGGREGATE(
      15,6,
      (ROW($C$13:$C$35)-ROW($C$13)+1)/
      ($E$13:$E$35=$J$12),
      ROW(A3)
    )
  ),
  ""
)</f>
        <v>Gran Faculdade</v>
      </c>
      <c r="K15" s="86" cm="1">
        <f t="array" ref="K15">IFERROR(
  INDEX(
    $D$13:$D$35,
    _xlfn.AGGREGATE(
      15,6,
      (ROW($D$13:$D$35)-ROW($D$13)+1)/
      ($E$13:$E$35=$J$12),
      ROW(A3)
    )
  ),
  0
)</f>
        <v>89.88</v>
      </c>
    </row>
    <row r="16" spans="1:11" ht="12.75">
      <c r="A16" s="55"/>
      <c r="B16" s="32">
        <v>0</v>
      </c>
      <c r="C16" s="56"/>
      <c r="D16" s="59">
        <v>0</v>
      </c>
      <c r="E16" s="61"/>
      <c r="F16" s="33" t="s">
        <v>29</v>
      </c>
      <c r="G16" s="62">
        <v>0.3</v>
      </c>
      <c r="H16" s="33" t="s">
        <v>30</v>
      </c>
      <c r="J16" s="34" t="str" cm="1">
        <f t="array" ref="J16">IFERROR(
  INDEX(
    $C$13:$C$35,
    _xlfn.AGGREGATE(
      15,6,
      (ROW($C$13:$C$35)-ROW($C$13)+1)/
      ($E$13:$E$35=$J$12),
      ROW(A4)
    )
  ),
  ""
)</f>
        <v/>
      </c>
      <c r="K16" s="86" cm="1">
        <f t="array" ref="K16">IFERROR(
  INDEX(
    $D$13:$D$35,
    _xlfn.AGGREGATE(
      15,6,
      (ROW($D$13:$D$35)-ROW($D$13)+1)/
      ($E$13:$E$35=$J$12),
      ROW(A4)
    )
  ),
  0
)</f>
        <v>0</v>
      </c>
    </row>
    <row r="17" spans="1:11" ht="12.75">
      <c r="A17" s="55"/>
      <c r="B17" s="32">
        <v>0</v>
      </c>
      <c r="C17" s="56"/>
      <c r="D17" s="59">
        <v>0</v>
      </c>
      <c r="E17" s="61"/>
      <c r="F17" s="33" t="s">
        <v>31</v>
      </c>
      <c r="G17" s="62">
        <v>0.2</v>
      </c>
      <c r="H17" s="33" t="s">
        <v>30</v>
      </c>
      <c r="J17" s="34" t="str" cm="1">
        <f t="array" ref="J17">IFERROR(
  INDEX(
    $C$13:$C$35,
    _xlfn.AGGREGATE(
      15,6,
      (ROW($C$13:$C$35)-ROW($C$13)+1)/
      ($E$13:$E$35=$J$12),
      ROW(A5)
    )
  ),
  ""
)</f>
        <v/>
      </c>
      <c r="K17" s="86" cm="1">
        <f t="array" ref="K17">IFERROR(
  INDEX(
    $D$13:$D$35,
    _xlfn.AGGREGATE(
      15,6,
      (ROW($D$13:$D$35)-ROW($D$13)+1)/
      ($E$13:$E$35=$J$12),
      ROW(A5)
    )
  ),
  0
)</f>
        <v>0</v>
      </c>
    </row>
    <row r="18" spans="1:11" ht="12.75">
      <c r="A18" s="55"/>
      <c r="B18" s="32">
        <v>0</v>
      </c>
      <c r="C18" s="56"/>
      <c r="D18" s="59">
        <v>0</v>
      </c>
      <c r="E18" s="61"/>
      <c r="F18" s="33" t="s">
        <v>33</v>
      </c>
      <c r="G18" s="62">
        <v>0.2</v>
      </c>
      <c r="H18" s="33" t="s">
        <v>30</v>
      </c>
      <c r="J18" s="34" t="str" cm="1">
        <f t="array" ref="J18">IFERROR(
  INDEX(
    $C$13:$C$35,
    _xlfn.AGGREGATE(
      15,6,
      (ROW($C$13:$C$35)-ROW($C$13)+1)/
      ($E$13:$E$35=$J$12),
      ROW(A6)
    )
  ),
  ""
)</f>
        <v/>
      </c>
      <c r="K18" s="86" cm="1">
        <f t="array" ref="K18">IFERROR(
  INDEX(
    $D$13:$D$35,
    _xlfn.AGGREGATE(
      15,6,
      (ROW($D$13:$D$35)-ROW($D$13)+1)/
      ($E$13:$E$35=$J$12),
      ROW(A6)
    )
  ),
  0
)</f>
        <v>0</v>
      </c>
    </row>
    <row r="19" spans="1:11" ht="12.75">
      <c r="A19" s="55"/>
      <c r="B19" s="32">
        <v>0</v>
      </c>
      <c r="C19" s="56"/>
      <c r="D19" s="59">
        <v>0</v>
      </c>
      <c r="E19" s="61"/>
      <c r="F19" s="33" t="s">
        <v>34</v>
      </c>
      <c r="G19" s="62">
        <v>0.15</v>
      </c>
      <c r="H19" s="33" t="s">
        <v>30</v>
      </c>
      <c r="J19" s="34" t="str" cm="1">
        <f t="array" ref="J19">IFERROR(
  INDEX(
    $C$13:$C$35,
    _xlfn.AGGREGATE(
      15,6,
      (ROW($C$13:$C$35)-ROW($C$13)+1)/
      ($E$13:$E$35=$J$12),
      ROW(A7)
    )
  ),
  ""
)</f>
        <v/>
      </c>
      <c r="K19" s="86" cm="1">
        <f t="array" ref="K19">IFERROR(
  INDEX(
    $D$13:$D$35,
    _xlfn.AGGREGATE(
      15,6,
      (ROW($D$13:$D$35)-ROW($D$13)+1)/
      ($E$13:$E$35=$J$12),
      ROW(A7)
    )
  ),
  0
)</f>
        <v>0</v>
      </c>
    </row>
    <row r="20" spans="1:11" ht="12.75">
      <c r="A20" s="55"/>
      <c r="B20" s="32">
        <v>0</v>
      </c>
      <c r="C20" s="56"/>
      <c r="D20" s="59">
        <v>0</v>
      </c>
      <c r="E20" s="61"/>
      <c r="F20" s="33" t="s">
        <v>35</v>
      </c>
      <c r="G20" s="62">
        <v>0.05</v>
      </c>
      <c r="H20" s="33" t="s">
        <v>30</v>
      </c>
      <c r="J20" s="34" t="str" cm="1">
        <f t="array" ref="J20">IFERROR(
  INDEX(
    $C$13:$C$35,
    _xlfn.AGGREGATE(
      15,6,
      (ROW($C$13:$C$35)-ROW($C$13)+1)/
      ($E$13:$E$35=$J$12),
      ROW(A8)
    )
  ),
  ""
)</f>
        <v/>
      </c>
      <c r="K20" s="86" cm="1">
        <f t="array" ref="K20">IFERROR(
  INDEX(
    $D$13:$D$35,
    _xlfn.AGGREGATE(
      15,6,
      (ROW($D$13:$D$35)-ROW($D$13)+1)/
      ($E$13:$E$35=$J$12),
      ROW(A8)
    )
  ),
  0
)</f>
        <v>0</v>
      </c>
    </row>
    <row r="21" spans="1:11" ht="12.75">
      <c r="A21" s="55"/>
      <c r="B21" s="32">
        <v>0</v>
      </c>
      <c r="C21" s="56"/>
      <c r="D21" s="59">
        <v>0</v>
      </c>
      <c r="E21" s="61"/>
      <c r="F21" s="33" t="s">
        <v>36</v>
      </c>
      <c r="G21" s="62">
        <v>7.4999999999999997E-2</v>
      </c>
      <c r="H21" s="33" t="s">
        <v>30</v>
      </c>
      <c r="J21" s="34" t="str" cm="1">
        <f t="array" ref="J21">IFERROR(
  INDEX(
    $C$13:$C$35,
    _xlfn.AGGREGATE(
      15,6,
      (ROW($C$13:$C$35)-ROW($C$13)+1)/
      ($E$13:$E$35=$J$12),
      ROW(A9)
    )
  ),
  ""
)</f>
        <v/>
      </c>
      <c r="K21" s="86" cm="1">
        <f t="array" ref="K21">IFERROR(
  INDEX(
    $D$13:$D$35,
    _xlfn.AGGREGATE(
      15,6,
      (ROW($D$13:$D$35)-ROW($D$13)+1)/
      ($E$13:$E$35=$J$12),
      ROW(A9)
    )
  ),
  0
)</f>
        <v>0</v>
      </c>
    </row>
    <row r="22" spans="1:11" ht="12.75">
      <c r="A22" s="55"/>
      <c r="B22" s="32">
        <v>0</v>
      </c>
      <c r="C22" s="56"/>
      <c r="D22" s="59">
        <v>0</v>
      </c>
      <c r="E22" s="61"/>
      <c r="F22" s="33" t="s">
        <v>37</v>
      </c>
      <c r="G22" s="62">
        <v>2.5000000000000001E-2</v>
      </c>
      <c r="H22" s="33" t="s">
        <v>30</v>
      </c>
      <c r="J22" s="34" t="str" cm="1">
        <f t="array" ref="J22">IFERROR(
  INDEX(
    $C$13:$C$35,
    _xlfn.AGGREGATE(
      15,6,
      (ROW($C$13:$C$35)-ROW($C$13)+1)/
      ($E$13:$E$35=$J$12),
      ROW(A10)
    )
  ),
  ""
)</f>
        <v/>
      </c>
      <c r="K22" s="86" cm="1">
        <f t="array" ref="K22">IFERROR(
  INDEX(
    $D$13:$D$35,
    _xlfn.AGGREGATE(
      15,6,
      (ROW($D$13:$D$35)-ROW($D$13)+1)/
      ($E$13:$E$35=$J$12),
      ROW(A10)
    )
  ),
  0
)</f>
        <v>0</v>
      </c>
    </row>
    <row r="23" spans="1:11" ht="12.75">
      <c r="A23" s="55"/>
      <c r="B23" s="32">
        <v>0</v>
      </c>
      <c r="C23" s="56"/>
      <c r="D23" s="59">
        <v>0</v>
      </c>
      <c r="E23" s="61"/>
      <c r="F23" s="33" t="s">
        <v>38</v>
      </c>
      <c r="G23" s="62">
        <v>1</v>
      </c>
      <c r="H23" s="33" t="s">
        <v>39</v>
      </c>
      <c r="J23" s="34" t="str" cm="1">
        <f t="array" ref="J23">IFERROR(
  INDEX(
    $C$13:$C$35,
    _xlfn.AGGREGATE(
      15,6,
      (ROW($C$13:$C$35)-ROW($C$13)+1)/
      ($E$13:$E$35=$J$12),
      ROW(A11)
    )
  ),
  ""
)</f>
        <v/>
      </c>
      <c r="K23" s="86" cm="1">
        <f t="array" ref="K23">IFERROR(
  INDEX(
    $D$13:$D$35,
    _xlfn.AGGREGATE(
      15,6,
      (ROW($D$13:$D$35)-ROW($D$13)+1)/
      ($E$13:$E$35=$J$12),
      ROW(A11)
    )
  ),
  0
)</f>
        <v>0</v>
      </c>
    </row>
    <row r="24" spans="1:11" ht="25.5">
      <c r="A24" s="55"/>
      <c r="B24" s="32">
        <v>0</v>
      </c>
      <c r="C24" s="64"/>
      <c r="D24" s="65">
        <v>0</v>
      </c>
      <c r="E24" s="66"/>
      <c r="F24" s="33" t="s">
        <v>40</v>
      </c>
      <c r="G24" s="62">
        <v>1</v>
      </c>
      <c r="H24" s="33" t="s">
        <v>41</v>
      </c>
      <c r="J24" s="34" t="str" cm="1">
        <f t="array" ref="J24">IFERROR(
  INDEX(
    $C$13:$C$35,
    _xlfn.AGGREGATE(
      15,6,
      (ROW($C$13:$C$35)-ROW($C$13)+1)/
      ($E$13:$E$35=$J$12),
      ROW(A12)
    )
  ),
  ""
)</f>
        <v/>
      </c>
      <c r="K24" s="86" cm="1">
        <f t="array" ref="K24">IFERROR(
  INDEX(
    $D$13:$D$35,
    _xlfn.AGGREGATE(
      15,6,
      (ROW($D$13:$D$35)-ROW($D$13)+1)/
      ($E$13:$E$35=$J$12),
      ROW(A12)
    )
  ),
  0
)</f>
        <v>0</v>
      </c>
    </row>
    <row r="25" spans="1:11" ht="12.75">
      <c r="A25" s="55"/>
      <c r="B25" s="32">
        <v>0</v>
      </c>
      <c r="C25" s="58" t="str" cm="1">
        <f t="array" ref="C25">IFERROR(
  INDEX(
    Passivos!$C$3:$C$21,
    _xlfn.AGGREGATE(
      15, 6,
      (ROW(Passivos!$C$3:$C$21)-ROW(Passivos!$C$3)+1)/
      (Passivos!$B$3:$B$21=TRUE),
      ROW($C$35)-ROW(C25)+1
    )
  ),
  ""
)</f>
        <v/>
      </c>
      <c r="D25" s="60" cm="1">
        <f t="array" ref="D25">IFERROR(
  INDEX(
    Passivos!$D$3:$D$21,
    _xlfn.AGGREGATE(
      15, 6,
      (ROW(Passivos!$D$3:$D$21)-ROW(Passivos!$D$3)+1)/
      (Passivos!$B$3:$B$21=TRUE),
      ROW($D$35)-ROW(D25)+1
    )
  ),
  0
)</f>
        <v>0</v>
      </c>
      <c r="E25" s="61"/>
      <c r="F25" s="33"/>
      <c r="G25" s="62">
        <v>0</v>
      </c>
      <c r="H25" s="33"/>
      <c r="J25" s="34" t="str" cm="1">
        <f t="array" ref="J25">IFERROR(
  INDEX(
    $C$13:$C$35,
    _xlfn.AGGREGATE(
      15,6,
      (ROW($C$13:$C$35)-ROW($C$13)+1)/
      ($E$13:$E$35=$J$12),
      ROW(A13)
    )
  ),
  ""
)</f>
        <v/>
      </c>
      <c r="K25" s="86" cm="1">
        <f t="array" ref="K25">IFERROR(
  INDEX(
    $D$13:$D$35,
    _xlfn.AGGREGATE(
      15,6,
      (ROW($D$13:$D$35)-ROW($D$13)+1)/
      ($E$13:$E$35=$J$12),
      ROW(A13)
    )
  ),
  0
)</f>
        <v>0</v>
      </c>
    </row>
    <row r="26" spans="1:11" ht="12.75">
      <c r="A26" s="55"/>
      <c r="B26" s="32">
        <v>0</v>
      </c>
      <c r="C26" s="58" t="str" cm="1">
        <f t="array" ref="C26">IFERROR(
  INDEX(
    Passivos!$C$3:$C$21,
    _xlfn.AGGREGATE(
      15, 6,
      (ROW(Passivos!$C$3:$C$21)-ROW(Passivos!$C$3)+1)/
      (Passivos!$B$3:$B$21=TRUE),
      ROW($C$35)-ROW(C26)+1
    )
  ),
  ""
)</f>
        <v/>
      </c>
      <c r="D26" s="60" cm="1">
        <f t="array" ref="D26">IFERROR(
  INDEX(
    Passivos!$D$3:$D$21,
    _xlfn.AGGREGATE(
      15, 6,
      (ROW(Passivos!$D$3:$D$21)-ROW(Passivos!$D$3)+1)/
      (Passivos!$B$3:$B$21=TRUE),
      ROW($D$35)-ROW(D26)+1
    )
  ),
  0
)</f>
        <v>0</v>
      </c>
      <c r="E26" s="61"/>
      <c r="F26" s="33"/>
      <c r="G26" s="62">
        <v>0</v>
      </c>
      <c r="H26" s="33"/>
      <c r="J26" s="34" t="str" cm="1">
        <f t="array" ref="J26">IFERROR(
  INDEX(
    $C$13:$C$35,
    _xlfn.AGGREGATE(
      15,6,
      (ROW($C$13:$C$35)-ROW($C$13)+1)/
      ($E$13:$E$35=$J$12),
      ROW(A14)
    )
  ),
  ""
)</f>
        <v/>
      </c>
      <c r="K26" s="86" cm="1">
        <f t="array" ref="K26">IFERROR(
  INDEX(
    $D$13:$D$35,
    _xlfn.AGGREGATE(
      15,6,
      (ROW($D$13:$D$35)-ROW($D$13)+1)/
      ($E$13:$E$35=$J$12),
      ROW(A14)
    )
  ),
  0
)</f>
        <v>0</v>
      </c>
    </row>
    <row r="27" spans="1:11" ht="12.75">
      <c r="A27" s="55"/>
      <c r="B27" s="32">
        <v>0</v>
      </c>
      <c r="C27" s="58" t="str" cm="1">
        <f t="array" ref="C27">IFERROR(
  INDEX(
    Passivos!$C$3:$C$21,
    _xlfn.AGGREGATE(
      15, 6,
      (ROW(Passivos!$C$3:$C$21)-ROW(Passivos!$C$3)+1)/
      (Passivos!$B$3:$B$21=TRUE),
      ROW($C$35)-ROW(C27)+1
    )
  ),
  ""
)</f>
        <v/>
      </c>
      <c r="D27" s="60" cm="1">
        <f t="array" ref="D27">IFERROR(
  INDEX(
    Passivos!$D$3:$D$21,
    _xlfn.AGGREGATE(
      15, 6,
      (ROW(Passivos!$D$3:$D$21)-ROW(Passivos!$D$3)+1)/
      (Passivos!$B$3:$B$21=TRUE),
      ROW($D$35)-ROW(D27)+1
    )
  ),
  0
)</f>
        <v>0</v>
      </c>
      <c r="E27" s="61"/>
      <c r="F27" s="33"/>
      <c r="G27" s="62">
        <v>0</v>
      </c>
      <c r="H27" s="33"/>
      <c r="K27" s="35"/>
    </row>
    <row r="28" spans="1:11" ht="12.75">
      <c r="A28" s="55"/>
      <c r="B28" s="32">
        <v>0</v>
      </c>
      <c r="C28" s="58" t="str" cm="1">
        <f t="array" ref="C28">IFERROR(
  INDEX(
    Passivos!$C$3:$C$21,
    _xlfn.AGGREGATE(
      15, 6,
      (ROW(Passivos!$C$3:$C$21)-ROW(Passivos!$C$3)+1)/
      (Passivos!$B$3:$B$21=TRUE),
      ROW($C$35)-ROW(C28)+1
    )
  ),
  ""
)</f>
        <v/>
      </c>
      <c r="D28" s="60" cm="1">
        <f t="array" ref="D28">IFERROR(
  INDEX(
    Passivos!$D$3:$D$21,
    _xlfn.AGGREGATE(
      15, 6,
      (ROW(Passivos!$D$3:$D$21)-ROW(Passivos!$D$3)+1)/
      (Passivos!$B$3:$B$21=TRUE),
      ROW($D$35)-ROW(D28)+1
    )
  ),
  0
)</f>
        <v>0</v>
      </c>
      <c r="E28" s="61"/>
      <c r="F28" s="33"/>
      <c r="G28" s="62">
        <v>0</v>
      </c>
      <c r="H28" s="33"/>
      <c r="K28" s="35"/>
    </row>
    <row r="29" spans="1:11" ht="12.75">
      <c r="A29" s="55"/>
      <c r="B29" s="32">
        <v>0</v>
      </c>
      <c r="C29" s="58" t="str" cm="1">
        <f t="array" ref="C29">IFERROR(
  INDEX(
    Passivos!$C$3:$C$21,
    _xlfn.AGGREGATE(
      15, 6,
      (ROW(Passivos!$C$3:$C$21)-ROW(Passivos!$C$3)+1)/
      (Passivos!$B$3:$B$21=TRUE),
      ROW($C$35)-ROW(C29)+1
    )
  ),
  ""
)</f>
        <v/>
      </c>
      <c r="D29" s="60" cm="1">
        <f t="array" ref="D29">IFERROR(
  INDEX(
    Passivos!$D$3:$D$21,
    _xlfn.AGGREGATE(
      15, 6,
      (ROW(Passivos!$D$3:$D$21)-ROW(Passivos!$D$3)+1)/
      (Passivos!$B$3:$B$21=TRUE),
      ROW($D$35)-ROW(D29)+1
    )
  ),
  0
)</f>
        <v>0</v>
      </c>
      <c r="E29" s="61"/>
      <c r="F29" s="33"/>
      <c r="G29" s="62">
        <v>0</v>
      </c>
      <c r="H29" s="33"/>
      <c r="K29" s="35"/>
    </row>
    <row r="30" spans="1:11" ht="12.75">
      <c r="A30" s="55"/>
      <c r="B30" s="32">
        <v>0</v>
      </c>
      <c r="C30" s="58" t="str" cm="1">
        <f t="array" ref="C30">IFERROR(
  INDEX(
    Passivos!$C$3:$C$21,
    _xlfn.AGGREGATE(
      15, 6,
      (ROW(Passivos!$C$3:$C$21)-ROW(Passivos!$C$3)+1)/
      (Passivos!$B$3:$B$21=TRUE),
      ROW($C$35)-ROW(C30)+1
    )
  ),
  ""
)</f>
        <v/>
      </c>
      <c r="D30" s="60" cm="1">
        <f t="array" ref="D30">IFERROR(
  INDEX(
    Passivos!$D$3:$D$21,
    _xlfn.AGGREGATE(
      15, 6,
      (ROW(Passivos!$D$3:$D$21)-ROW(Passivos!$D$3)+1)/
      (Passivos!$B$3:$B$21=TRUE),
      ROW($D$35)-ROW(D30)+1
    )
  ),
  0
)</f>
        <v>0</v>
      </c>
      <c r="E30" s="61"/>
      <c r="F30" s="36"/>
      <c r="G30" s="62">
        <v>0</v>
      </c>
      <c r="H30" s="36"/>
      <c r="K30" s="35"/>
    </row>
    <row r="31" spans="1:11" ht="12.75">
      <c r="A31" s="55"/>
      <c r="B31" s="32">
        <v>0</v>
      </c>
      <c r="C31" s="58" t="str" cm="1">
        <f t="array" ref="C31">IFERROR(
  INDEX(
    Passivos!$C$3:$C$21,
    _xlfn.AGGREGATE(
      15, 6,
      (ROW(Passivos!$C$3:$C$21)-ROW(Passivos!$C$3)+1)/
      (Passivos!$B$3:$B$21=TRUE),
      ROW($C$35)-ROW(C31)+1
    )
  ),
  ""
)</f>
        <v/>
      </c>
      <c r="D31" s="60" cm="1">
        <f t="array" ref="D31">IFERROR(
  INDEX(
    Passivos!$D$3:$D$21,
    _xlfn.AGGREGATE(
      15, 6,
      (ROW(Passivos!$D$3:$D$21)-ROW(Passivos!$D$3)+1)/
      (Passivos!$B$3:$B$21=TRUE),
      ROW($D$35)-ROW(D31)+1
    )
  ),
  0
)</f>
        <v>0</v>
      </c>
      <c r="E31" s="61"/>
      <c r="F31" s="36"/>
      <c r="G31" s="62">
        <v>0</v>
      </c>
      <c r="H31" s="36"/>
      <c r="K31" s="35"/>
    </row>
    <row r="32" spans="1:11" ht="12.75">
      <c r="A32" s="55"/>
      <c r="B32" s="32">
        <v>0</v>
      </c>
      <c r="C32" s="58" t="str" cm="1">
        <f t="array" ref="C32">IFERROR(
  INDEX(
    Passivos!$C$3:$C$21,
    _xlfn.AGGREGATE(
      15, 6,
      (ROW(Passivos!$C$3:$C$21)-ROW(Passivos!$C$3)+1)/
      (Passivos!$B$3:$B$21=TRUE),
      ROW($C$35)-ROW(C32)+1
    )
  ),
  ""
)</f>
        <v/>
      </c>
      <c r="D32" s="60" cm="1">
        <f t="array" ref="D32">IFERROR(
  INDEX(
    Passivos!$D$3:$D$21,
    _xlfn.AGGREGATE(
      15, 6,
      (ROW(Passivos!$D$3:$D$21)-ROW(Passivos!$D$3)+1)/
      (Passivos!$B$3:$B$21=TRUE),
      ROW($D$35)-ROW(D32)+1
    )
  ),
  0
)</f>
        <v>0</v>
      </c>
      <c r="E32" s="61"/>
      <c r="F32" s="36"/>
      <c r="G32" s="62">
        <v>0</v>
      </c>
      <c r="H32" s="36"/>
      <c r="K32" s="35"/>
    </row>
    <row r="33" spans="1:11" ht="12.75">
      <c r="A33" s="55"/>
      <c r="B33" s="32">
        <v>0</v>
      </c>
      <c r="C33" s="58" t="str" cm="1">
        <f t="array" ref="C33">IFERROR(
  INDEX(
    Passivos!$C$3:$C$21,
    _xlfn.AGGREGATE(
      15, 6,
      (ROW(Passivos!$C$3:$C$21)-ROW(Passivos!$C$3)+1)/
      (Passivos!$B$3:$B$21=TRUE),
      ROW($C$35)-ROW(C33)+1
    )
  ),
  ""
)</f>
        <v/>
      </c>
      <c r="D33" s="60" cm="1">
        <f t="array" ref="D33">IFERROR(
  INDEX(
    Passivos!$D$3:$D$21,
    _xlfn.AGGREGATE(
      15, 6,
      (ROW(Passivos!$D$3:$D$21)-ROW(Passivos!$D$3)+1)/
      (Passivos!$B$3:$B$21=TRUE),
      ROW($D$35)-ROW(D33)+1
    )
  ),
  0
)</f>
        <v>0</v>
      </c>
      <c r="E33" s="61"/>
      <c r="F33" s="36"/>
      <c r="G33" s="62">
        <v>0</v>
      </c>
      <c r="H33" s="36"/>
      <c r="K33" s="35"/>
    </row>
    <row r="34" spans="1:11" ht="12.75">
      <c r="A34" s="55"/>
      <c r="B34" s="32">
        <v>0</v>
      </c>
      <c r="C34" s="58" t="str" cm="1">
        <f t="array" ref="C34">IFERROR(
  INDEX(
    Passivos!$C$3:$C$21,
    _xlfn.AGGREGATE(
      15, 6,
      (ROW(Passivos!$C$3:$C$21)-ROW(Passivos!$C$3)+1)/
      (Passivos!$B$3:$B$21=TRUE),
      ROW($C$35)-ROW(C34)+1
    )
  ),
  ""
)</f>
        <v>Gran Faculdade</v>
      </c>
      <c r="D34" s="60" cm="1">
        <f t="array" ref="D34">IFERROR(
  INDEX(
    Passivos!$D$3:$D$21,
    _xlfn.AGGREGATE(
      15, 6,
      (ROW(Passivos!$D$3:$D$21)-ROW(Passivos!$D$3)+1)/
      (Passivos!$B$3:$B$21=TRUE),
      ROW($D$35)-ROW(D34)+1
    )
  ),
  0
)</f>
        <v>89.88</v>
      </c>
      <c r="E34" s="61" t="s">
        <v>20</v>
      </c>
      <c r="F34" s="36"/>
      <c r="G34" s="62">
        <v>0</v>
      </c>
      <c r="H34" s="36"/>
      <c r="K34" s="35"/>
    </row>
    <row r="35" spans="1:11" ht="12.75">
      <c r="A35" s="55"/>
      <c r="B35" s="32">
        <v>0</v>
      </c>
      <c r="C35" s="58" t="str" cm="1">
        <f t="array" ref="C35">IFERROR(
  INDEX(
    Passivos!$C$3:$C$21,
    _xlfn.AGGREGATE(
      15, 6,
      (ROW(Passivos!$C$3:$C$21)-ROW(Passivos!$C$3)+1)/
      (Passivos!$B$3:$B$21=TRUE),
      ROW($C$35)-ROW(C35)+1
    )
  ),
  ""
)</f>
        <v>MEI</v>
      </c>
      <c r="D35" s="60" cm="1">
        <f t="array" ref="D35">IFERROR(
  INDEX(
    Passivos!$D$3:$D$21,
    _xlfn.AGGREGATE(
      15, 6,
      (ROW(Passivos!$D$3:$D$21)-ROW(Passivos!$D$3)+1)/
      (Passivos!$B$3:$B$21=TRUE),
      ROW($D$35)-ROW(D35)+1
    )
  ),
  0
)</f>
        <v>86.05</v>
      </c>
      <c r="E35" s="61" t="s">
        <v>83</v>
      </c>
      <c r="F35" s="36"/>
      <c r="G35" s="62">
        <v>0</v>
      </c>
      <c r="H35" s="36"/>
      <c r="K35" s="35"/>
    </row>
    <row r="36" spans="1:11" ht="15.75" hidden="1" customHeight="1">
      <c r="C36" t="s">
        <v>76</v>
      </c>
      <c r="D36" t="s">
        <v>76</v>
      </c>
    </row>
    <row r="37" spans="1:11" ht="15.75" hidden="1" customHeight="1">
      <c r="C37" t="s">
        <v>77</v>
      </c>
      <c r="D37" t="s">
        <v>81</v>
      </c>
    </row>
    <row r="38" spans="1:11" ht="15.75" hidden="1" customHeight="1">
      <c r="C38" t="s">
        <v>78</v>
      </c>
      <c r="D38" t="s">
        <v>82</v>
      </c>
    </row>
    <row r="39" spans="1:11" ht="15.75" hidden="1" customHeight="1">
      <c r="C39" t="s">
        <v>79</v>
      </c>
      <c r="D39" t="s">
        <v>79</v>
      </c>
    </row>
    <row r="40" spans="1:11" ht="15.75" hidden="1" customHeight="1">
      <c r="C40" t="s">
        <v>80</v>
      </c>
      <c r="D40">
        <v>0</v>
      </c>
    </row>
    <row r="41" spans="1:11" ht="15.75" hidden="1" customHeight="1">
      <c r="C41" t="s">
        <v>75</v>
      </c>
      <c r="D41" t="s">
        <v>75</v>
      </c>
    </row>
  </sheetData>
  <mergeCells count="9">
    <mergeCell ref="E11:E12"/>
    <mergeCell ref="H11:H12"/>
    <mergeCell ref="A1:K1"/>
    <mergeCell ref="A2:C2"/>
    <mergeCell ref="B6:C6"/>
    <mergeCell ref="A10:B10"/>
    <mergeCell ref="C10:E10"/>
    <mergeCell ref="F10:H10"/>
    <mergeCell ref="J10:K10"/>
  </mergeCells>
  <conditionalFormatting sqref="B6">
    <cfRule type="containsText" dxfId="6" priority="1" operator="containsText" text="BOM">
      <formula>NOT(ISERROR(SEARCH(("BOM"),(B6))))</formula>
    </cfRule>
    <cfRule type="containsText" dxfId="5" priority="2" operator="containsText" text="Moderado">
      <formula>NOT(ISERROR(SEARCH(("Moderado"),(B6))))</formula>
    </cfRule>
    <cfRule type="containsText" dxfId="4" priority="3" operator="containsText" text="ALTO">
      <formula>NOT(ISERROR(SEARCH(("ALTO"),(B6))))</formula>
    </cfRule>
    <cfRule type="containsText" dxfId="3" priority="4" operator="containsText" text="ACIMA DO LIMITE">
      <formula>NOT(ISERROR(SEARCH(("ACIMA DO LIMITE"),(B6))))</formula>
    </cfRule>
  </conditionalFormatting>
  <conditionalFormatting sqref="K2">
    <cfRule type="beginsWith" dxfId="2" priority="5" operator="beginsWith" text="05">
      <formula>LEFT((K2),LEN("05"))=("05")</formula>
    </cfRule>
    <cfRule type="beginsWith" dxfId="1" priority="6" operator="beginsWith" text="04">
      <formula>LEFT((K2),LEN("04"))=("04")</formula>
    </cfRule>
    <cfRule type="beginsWith" dxfId="0" priority="7" operator="beginsWith" text="03">
      <formula>LEFT((K2),LEN("03"))=("03")</formula>
    </cfRule>
  </conditionalFormatting>
  <dataValidations disablePrompts="1" count="2">
    <dataValidation type="list" allowBlank="1" showErrorMessage="1" sqref="H13:H35" xr:uid="{00000000-0002-0000-0000-000000000000}">
      <formula1>"ETF,Cripto,Ações,LCI's &amp; LCA's,Imóveis,Empreendimentos,Reserva de Emergência,Ouro/Prata,Reserva Estratégica"</formula1>
    </dataValidation>
    <dataValidation type="list" allowBlank="1" showErrorMessage="1" sqref="J12 E13:E35" xr:uid="{00000000-0002-0000-0000-000001000000}">
      <formula1>"Aluguel/Financiamentos,Transporte,Essenciais,Alimentação,Impostos,Saúde &amp; Bem Estar,Vestuário/Cuidados Pessoais,Outros/Eventuais,Educação"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outlinePr summaryBelow="0" summaryRight="0"/>
  </sheetPr>
  <dimension ref="B1:F22"/>
  <sheetViews>
    <sheetView showGridLines="0" workbookViewId="0">
      <selection activeCell="B4" sqref="B4"/>
    </sheetView>
  </sheetViews>
  <sheetFormatPr defaultColWidth="12.5703125" defaultRowHeight="15.75" customHeight="1"/>
  <cols>
    <col min="1" max="1" width="2.7109375" customWidth="1"/>
    <col min="2" max="2" width="13.28515625" bestFit="1" customWidth="1"/>
    <col min="3" max="3" width="14.140625" customWidth="1"/>
    <col min="5" max="5" width="12.42578125" customWidth="1"/>
    <col min="6" max="6" width="3.140625" customWidth="1"/>
  </cols>
  <sheetData>
    <row r="1" spans="2:6" ht="44.25">
      <c r="B1" s="76" t="s">
        <v>42</v>
      </c>
      <c r="C1" s="77"/>
      <c r="D1" s="77"/>
      <c r="E1" s="78"/>
      <c r="F1" s="37"/>
    </row>
    <row r="2" spans="2:6" ht="17.25" customHeight="1">
      <c r="B2" s="38" t="s">
        <v>43</v>
      </c>
      <c r="C2" s="39" t="s">
        <v>44</v>
      </c>
      <c r="D2" s="38" t="s">
        <v>45</v>
      </c>
      <c r="E2" s="38" t="s">
        <v>46</v>
      </c>
      <c r="F2" s="40"/>
    </row>
    <row r="3" spans="2:6" ht="27" customHeight="1">
      <c r="B3" s="63" t="b">
        <v>0</v>
      </c>
      <c r="C3" s="42" t="s">
        <v>47</v>
      </c>
      <c r="D3" s="43">
        <v>72.900000000000006</v>
      </c>
      <c r="E3" s="41"/>
      <c r="F3" s="44"/>
    </row>
    <row r="4" spans="2:6" ht="17.25" customHeight="1">
      <c r="B4" s="63" t="b">
        <v>1</v>
      </c>
      <c r="C4" s="42" t="s">
        <v>48</v>
      </c>
      <c r="D4" s="45">
        <v>86.05</v>
      </c>
      <c r="E4" s="41"/>
      <c r="F4" s="44"/>
    </row>
    <row r="5" spans="2:6" ht="17.25" customHeight="1">
      <c r="B5" s="63" t="b">
        <v>0</v>
      </c>
      <c r="C5" s="42" t="s">
        <v>49</v>
      </c>
      <c r="D5" s="43">
        <v>14.99</v>
      </c>
      <c r="E5" s="41">
        <v>149.99</v>
      </c>
      <c r="F5" s="44"/>
    </row>
    <row r="6" spans="2:6" ht="17.25" customHeight="1">
      <c r="B6" s="63" t="b">
        <v>0</v>
      </c>
      <c r="C6" s="42" t="s">
        <v>50</v>
      </c>
      <c r="D6" s="43">
        <v>24.99</v>
      </c>
      <c r="E6" s="41"/>
      <c r="F6" s="44"/>
    </row>
    <row r="7" spans="2:6" ht="17.25" customHeight="1">
      <c r="B7" s="63" t="b">
        <v>1</v>
      </c>
      <c r="C7" s="42" t="s">
        <v>51</v>
      </c>
      <c r="D7" s="45">
        <v>89.88</v>
      </c>
      <c r="E7" s="41"/>
      <c r="F7" s="44"/>
    </row>
    <row r="8" spans="2:6" ht="17.25" customHeight="1">
      <c r="B8" s="63" t="b">
        <v>0</v>
      </c>
      <c r="C8" s="42" t="s">
        <v>52</v>
      </c>
      <c r="D8" s="43">
        <v>173.85</v>
      </c>
      <c r="E8" s="41"/>
      <c r="F8" s="44"/>
    </row>
    <row r="9" spans="2:6" ht="17.25" customHeight="1">
      <c r="B9" s="63" t="b">
        <v>0</v>
      </c>
      <c r="C9" s="42" t="s">
        <v>53</v>
      </c>
      <c r="D9" s="43">
        <f>49.49+120</f>
        <v>169.49</v>
      </c>
      <c r="E9" s="41"/>
      <c r="F9" s="44"/>
    </row>
    <row r="10" spans="2:6" ht="17.25" customHeight="1">
      <c r="B10" s="63" t="b">
        <v>0</v>
      </c>
      <c r="C10" s="42" t="s">
        <v>54</v>
      </c>
      <c r="D10" s="43">
        <v>60</v>
      </c>
      <c r="E10" s="41"/>
      <c r="F10" s="44"/>
    </row>
    <row r="11" spans="2:6" ht="38.25">
      <c r="B11" s="63" t="b">
        <v>0</v>
      </c>
      <c r="C11" s="42" t="s">
        <v>55</v>
      </c>
      <c r="D11" s="43">
        <v>38.47</v>
      </c>
      <c r="E11" s="41">
        <v>71</v>
      </c>
      <c r="F11" s="44"/>
    </row>
    <row r="12" spans="2:6" ht="17.25" customHeight="1">
      <c r="B12" s="63" t="b">
        <v>0</v>
      </c>
      <c r="C12" s="42"/>
      <c r="D12" s="43"/>
      <c r="E12" s="41"/>
      <c r="F12" s="44"/>
    </row>
    <row r="13" spans="2:6" ht="17.25" customHeight="1">
      <c r="B13" s="63" t="b">
        <v>0</v>
      </c>
      <c r="C13" s="42"/>
      <c r="D13" s="43"/>
      <c r="E13" s="41"/>
      <c r="F13" s="44"/>
    </row>
    <row r="14" spans="2:6" ht="17.25" customHeight="1">
      <c r="B14" s="63" t="b">
        <v>0</v>
      </c>
      <c r="C14" s="42"/>
      <c r="D14" s="43"/>
      <c r="E14" s="41"/>
      <c r="F14" s="44"/>
    </row>
    <row r="15" spans="2:6" ht="17.25" customHeight="1">
      <c r="B15" s="63" t="b">
        <v>0</v>
      </c>
      <c r="C15" s="42"/>
      <c r="D15" s="43"/>
      <c r="E15" s="41"/>
      <c r="F15" s="44"/>
    </row>
    <row r="16" spans="2:6" ht="17.25" customHeight="1">
      <c r="B16" s="63"/>
      <c r="C16" s="42"/>
      <c r="D16" s="43"/>
      <c r="E16" s="41"/>
      <c r="F16" s="44"/>
    </row>
    <row r="17" spans="2:6" ht="17.25" customHeight="1">
      <c r="B17" s="63"/>
      <c r="C17" s="42"/>
      <c r="D17" s="43"/>
      <c r="E17" s="41"/>
      <c r="F17" s="44"/>
    </row>
    <row r="18" spans="2:6" ht="17.25" customHeight="1">
      <c r="B18" s="63"/>
      <c r="C18" s="42"/>
      <c r="D18" s="43"/>
      <c r="E18" s="41"/>
      <c r="F18" s="44"/>
    </row>
    <row r="19" spans="2:6" ht="17.25" customHeight="1">
      <c r="B19" s="63"/>
      <c r="C19" s="42"/>
      <c r="D19" s="43"/>
      <c r="E19" s="41"/>
      <c r="F19" s="44"/>
    </row>
    <row r="20" spans="2:6" ht="17.25" customHeight="1">
      <c r="B20" s="63"/>
      <c r="C20" s="42"/>
      <c r="D20" s="43"/>
      <c r="E20" s="41"/>
      <c r="F20" s="44"/>
    </row>
    <row r="21" spans="2:6" ht="17.25" customHeight="1">
      <c r="B21" s="63"/>
      <c r="C21" s="42"/>
      <c r="D21" s="43"/>
      <c r="E21" s="41"/>
      <c r="F21" s="44"/>
    </row>
    <row r="22" spans="2:6" ht="17.25" customHeight="1">
      <c r="C22" s="3"/>
    </row>
  </sheetData>
  <mergeCells count="1">
    <mergeCell ref="B1:E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1</xdr:col>
                    <xdr:colOff>323850</xdr:colOff>
                    <xdr:row>2</xdr:row>
                    <xdr:rowOff>76200</xdr:rowOff>
                  </from>
                  <to>
                    <xdr:col>1</xdr:col>
                    <xdr:colOff>581025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1</xdr:col>
                    <xdr:colOff>323850</xdr:colOff>
                    <xdr:row>3</xdr:row>
                    <xdr:rowOff>0</xdr:rowOff>
                  </from>
                  <to>
                    <xdr:col>1</xdr:col>
                    <xdr:colOff>581025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Check Box 3">
              <controlPr defaultSize="0" autoFill="0" autoLine="0" autoPict="0">
                <anchor moveWithCells="1">
                  <from>
                    <xdr:col>1</xdr:col>
                    <xdr:colOff>323850</xdr:colOff>
                    <xdr:row>4</xdr:row>
                    <xdr:rowOff>0</xdr:rowOff>
                  </from>
                  <to>
                    <xdr:col>1</xdr:col>
                    <xdr:colOff>581025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heck Box 4">
              <controlPr defaultSize="0" autoFill="0" autoLine="0" autoPict="0">
                <anchor moveWithCells="1">
                  <from>
                    <xdr:col>1</xdr:col>
                    <xdr:colOff>323850</xdr:colOff>
                    <xdr:row>5</xdr:row>
                    <xdr:rowOff>0</xdr:rowOff>
                  </from>
                  <to>
                    <xdr:col>1</xdr:col>
                    <xdr:colOff>581025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heck Box 5">
              <controlPr defaultSize="0" autoFill="0" autoLine="0" autoPict="0">
                <anchor moveWithCells="1">
                  <from>
                    <xdr:col>1</xdr:col>
                    <xdr:colOff>323850</xdr:colOff>
                    <xdr:row>6</xdr:row>
                    <xdr:rowOff>0</xdr:rowOff>
                  </from>
                  <to>
                    <xdr:col>1</xdr:col>
                    <xdr:colOff>581025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Check Box 6">
              <controlPr defaultSize="0" autoFill="0" autoLine="0" autoPict="0">
                <anchor moveWithCells="1">
                  <from>
                    <xdr:col>1</xdr:col>
                    <xdr:colOff>323850</xdr:colOff>
                    <xdr:row>7</xdr:row>
                    <xdr:rowOff>0</xdr:rowOff>
                  </from>
                  <to>
                    <xdr:col>1</xdr:col>
                    <xdr:colOff>581025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Check Box 7">
              <controlPr defaultSize="0" autoFill="0" autoLine="0" autoPict="0">
                <anchor moveWithCells="1">
                  <from>
                    <xdr:col>1</xdr:col>
                    <xdr:colOff>323850</xdr:colOff>
                    <xdr:row>8</xdr:row>
                    <xdr:rowOff>0</xdr:rowOff>
                  </from>
                  <to>
                    <xdr:col>1</xdr:col>
                    <xdr:colOff>581025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Check Box 8">
              <controlPr defaultSize="0" autoFill="0" autoLine="0" autoPict="0">
                <anchor moveWithCells="1">
                  <from>
                    <xdr:col>1</xdr:col>
                    <xdr:colOff>323850</xdr:colOff>
                    <xdr:row>9</xdr:row>
                    <xdr:rowOff>0</xdr:rowOff>
                  </from>
                  <to>
                    <xdr:col>1</xdr:col>
                    <xdr:colOff>581025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Check Box 9">
              <controlPr defaultSize="0" autoFill="0" autoLine="0" autoPict="0">
                <anchor moveWithCells="1">
                  <from>
                    <xdr:col>1</xdr:col>
                    <xdr:colOff>323850</xdr:colOff>
                    <xdr:row>10</xdr:row>
                    <xdr:rowOff>114300</xdr:rowOff>
                  </from>
                  <to>
                    <xdr:col>1</xdr:col>
                    <xdr:colOff>581025</xdr:colOff>
                    <xdr:row>10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Check Box 10">
              <controlPr defaultSize="0" autoFill="0" autoLine="0" autoPict="0">
                <anchor moveWithCells="1">
                  <from>
                    <xdr:col>1</xdr:col>
                    <xdr:colOff>323850</xdr:colOff>
                    <xdr:row>10</xdr:row>
                    <xdr:rowOff>476250</xdr:rowOff>
                  </from>
                  <to>
                    <xdr:col>1</xdr:col>
                    <xdr:colOff>581025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Check Box 11">
              <controlPr defaultSize="0" autoFill="0" autoLine="0" autoPict="0">
                <anchor moveWithCells="1">
                  <from>
                    <xdr:col>1</xdr:col>
                    <xdr:colOff>323850</xdr:colOff>
                    <xdr:row>11</xdr:row>
                    <xdr:rowOff>209550</xdr:rowOff>
                  </from>
                  <to>
                    <xdr:col>1</xdr:col>
                    <xdr:colOff>581025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Check Box 12">
              <controlPr defaultSize="0" autoFill="0" autoLine="0" autoPict="0">
                <anchor moveWithCells="1">
                  <from>
                    <xdr:col>1</xdr:col>
                    <xdr:colOff>323850</xdr:colOff>
                    <xdr:row>12</xdr:row>
                    <xdr:rowOff>209550</xdr:rowOff>
                  </from>
                  <to>
                    <xdr:col>1</xdr:col>
                    <xdr:colOff>581025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Check Box 13">
              <controlPr defaultSize="0" autoFill="0" autoLine="0" autoPict="0">
                <anchor moveWithCells="1">
                  <from>
                    <xdr:col>1</xdr:col>
                    <xdr:colOff>323850</xdr:colOff>
                    <xdr:row>13</xdr:row>
                    <xdr:rowOff>209550</xdr:rowOff>
                  </from>
                  <to>
                    <xdr:col>1</xdr:col>
                    <xdr:colOff>581025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Check Box 14">
              <controlPr defaultSize="0" autoFill="0" autoLine="0" autoPict="0">
                <anchor moveWithCells="1">
                  <from>
                    <xdr:col>1</xdr:col>
                    <xdr:colOff>323850</xdr:colOff>
                    <xdr:row>14</xdr:row>
                    <xdr:rowOff>209550</xdr:rowOff>
                  </from>
                  <to>
                    <xdr:col>1</xdr:col>
                    <xdr:colOff>581025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7" name="Check Box 15">
              <controlPr defaultSize="0" autoFill="0" autoLine="0" autoPict="0">
                <anchor moveWithCells="1">
                  <from>
                    <xdr:col>1</xdr:col>
                    <xdr:colOff>323850</xdr:colOff>
                    <xdr:row>15</xdr:row>
                    <xdr:rowOff>209550</xdr:rowOff>
                  </from>
                  <to>
                    <xdr:col>1</xdr:col>
                    <xdr:colOff>581025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8" name="Check Box 16">
              <controlPr defaultSize="0" autoFill="0" autoLine="0" autoPict="0">
                <anchor moveWithCells="1">
                  <from>
                    <xdr:col>1</xdr:col>
                    <xdr:colOff>323850</xdr:colOff>
                    <xdr:row>16</xdr:row>
                    <xdr:rowOff>209550</xdr:rowOff>
                  </from>
                  <to>
                    <xdr:col>1</xdr:col>
                    <xdr:colOff>581025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9" name="Check Box 17">
              <controlPr defaultSize="0" autoFill="0" autoLine="0" autoPict="0">
                <anchor moveWithCells="1">
                  <from>
                    <xdr:col>1</xdr:col>
                    <xdr:colOff>323850</xdr:colOff>
                    <xdr:row>17</xdr:row>
                    <xdr:rowOff>209550</xdr:rowOff>
                  </from>
                  <to>
                    <xdr:col>1</xdr:col>
                    <xdr:colOff>581025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0" name="Check Box 18">
              <controlPr defaultSize="0" autoFill="0" autoLine="0" autoPict="0">
                <anchor moveWithCells="1">
                  <from>
                    <xdr:col>1</xdr:col>
                    <xdr:colOff>323850</xdr:colOff>
                    <xdr:row>18</xdr:row>
                    <xdr:rowOff>209550</xdr:rowOff>
                  </from>
                  <to>
                    <xdr:col>1</xdr:col>
                    <xdr:colOff>581025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1" name="Check Box 19">
              <controlPr defaultSize="0" autoFill="0" autoLine="0" autoPict="0">
                <anchor moveWithCells="1">
                  <from>
                    <xdr:col>1</xdr:col>
                    <xdr:colOff>323850</xdr:colOff>
                    <xdr:row>19</xdr:row>
                    <xdr:rowOff>209550</xdr:rowOff>
                  </from>
                  <to>
                    <xdr:col>1</xdr:col>
                    <xdr:colOff>581025</xdr:colOff>
                    <xdr:row>20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outlinePr summaryBelow="0" summaryRight="0"/>
  </sheetPr>
  <dimension ref="A1:M5"/>
  <sheetViews>
    <sheetView showGridLines="0" workbookViewId="0">
      <selection activeCell="I16" sqref="I16"/>
    </sheetView>
  </sheetViews>
  <sheetFormatPr defaultColWidth="12.5703125" defaultRowHeight="15.75" customHeight="1"/>
  <cols>
    <col min="2" max="2" width="14.28515625" customWidth="1"/>
    <col min="3" max="3" width="15.42578125" customWidth="1"/>
    <col min="4" max="4" width="13.42578125" customWidth="1"/>
    <col min="7" max="7" width="13.42578125" customWidth="1"/>
    <col min="8" max="8" width="12.85546875" customWidth="1"/>
    <col min="9" max="9" width="14" customWidth="1"/>
    <col min="10" max="10" width="16" customWidth="1"/>
    <col min="11" max="11" width="14.7109375" customWidth="1"/>
    <col min="12" max="13" width="16.42578125" customWidth="1"/>
  </cols>
  <sheetData>
    <row r="1" spans="1:13" ht="26.25" customHeight="1">
      <c r="A1" s="46" t="s">
        <v>56</v>
      </c>
      <c r="B1" s="47" t="s">
        <v>57</v>
      </c>
      <c r="C1" s="48">
        <v>45962</v>
      </c>
      <c r="D1" s="79" t="s">
        <v>58</v>
      </c>
      <c r="E1" s="80"/>
      <c r="F1" s="49"/>
      <c r="G1" s="50">
        <f>139.65</f>
        <v>139.65</v>
      </c>
      <c r="H1" s="50" t="s">
        <v>59</v>
      </c>
      <c r="I1" s="49"/>
      <c r="J1" s="50" t="s">
        <v>60</v>
      </c>
      <c r="K1" s="49"/>
      <c r="L1" s="49"/>
      <c r="M1" s="49"/>
    </row>
    <row r="2" spans="1:13" ht="12.7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</row>
    <row r="3" spans="1:13" ht="12.75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</row>
    <row r="4" spans="1:13" ht="22.5" customHeight="1">
      <c r="A4" s="51" t="s">
        <v>61</v>
      </c>
      <c r="B4" s="51" t="s">
        <v>62</v>
      </c>
      <c r="C4" s="51" t="s">
        <v>63</v>
      </c>
      <c r="D4" s="51" t="s">
        <v>64</v>
      </c>
      <c r="E4" s="51" t="s">
        <v>65</v>
      </c>
      <c r="F4" s="51" t="s">
        <v>66</v>
      </c>
      <c r="G4" s="51" t="s">
        <v>67</v>
      </c>
      <c r="H4" s="51" t="s">
        <v>68</v>
      </c>
      <c r="I4" s="51" t="s">
        <v>69</v>
      </c>
      <c r="J4" s="51" t="s">
        <v>70</v>
      </c>
      <c r="K4" s="51" t="s">
        <v>71</v>
      </c>
      <c r="L4" s="51" t="s">
        <v>72</v>
      </c>
      <c r="M4" s="51" t="s">
        <v>73</v>
      </c>
    </row>
    <row r="5" spans="1:13" ht="22.5" customHeight="1">
      <c r="A5" s="52" t="s">
        <v>74</v>
      </c>
      <c r="B5" s="53">
        <v>1097.03</v>
      </c>
      <c r="C5" s="53">
        <v>1237.27</v>
      </c>
      <c r="D5" s="54">
        <f>(Rendimentos_Banco[Fevereiro]+$G$1)*1.0116</f>
        <v>1392.892272</v>
      </c>
      <c r="E5" s="54">
        <f>(Rendimentos_Banco[Março]+$G$1)*1.0116</f>
        <v>1550.3197623552003</v>
      </c>
      <c r="F5" s="54">
        <f>(Rendimentos_Banco[Abril]+$G$1)*1.0116</f>
        <v>1709.5734115985208</v>
      </c>
      <c r="G5" s="54">
        <f>(Rendimentos_Banco[Maio]+$G$1)*1.0116</f>
        <v>1870.6744031730639</v>
      </c>
      <c r="H5" s="54">
        <f>(Rendimentos_Banco[Junho]+$G$1)*1.0116</f>
        <v>2033.6441662498717</v>
      </c>
      <c r="I5" s="54">
        <f>(Rendimentos_Banco[Julho]+$G$1)*1.0116</f>
        <v>2198.5043785783701</v>
      </c>
      <c r="J5" s="54">
        <f>(Rendimentos_Banco[Agosto]+$G$1)*1.0116</f>
        <v>2365.2769693698792</v>
      </c>
      <c r="K5" s="54">
        <f>(Rendimentos_Banco[Setembro]+$G$1)*1.0116</f>
        <v>2533.9841222145701</v>
      </c>
      <c r="L5" s="54">
        <f>(Rendimentos_Banco[Outubro]+$G$1)*1.0116</f>
        <v>2704.6482780322594</v>
      </c>
      <c r="M5" s="54">
        <f>(Rendimentos_Banco[Novembro]+$G$1)*1.0116</f>
        <v>2877.2921380574339</v>
      </c>
    </row>
  </sheetData>
  <mergeCells count="1">
    <mergeCell ref="D1:E1"/>
  </mergeCells>
  <dataValidations disablePrompts="1" count="1">
    <dataValidation type="custom" allowBlank="1" showDropDown="1" sqref="B5:M5" xr:uid="{00000000-0002-0000-0200-000000000000}">
      <formula1>AND(ISNUMBER(B5),(NOT(OR(NOT(ISERROR(DATEVALUE(B5))), AND(ISNUMBER(B5), LEFT(CELL("format", B5))="D")))))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Budget Traker</vt:lpstr>
      <vt:lpstr>Passivos</vt:lpstr>
      <vt:lpstr>Previsão de Lucro do Banco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Windcraft</dc:creator>
  <cp:lastModifiedBy>Windcraft</cp:lastModifiedBy>
  <dcterms:created xsi:type="dcterms:W3CDTF">2026-02-23T17:14:44Z</dcterms:created>
  <dcterms:modified xsi:type="dcterms:W3CDTF">2026-02-23T17:31:31Z</dcterms:modified>
</cp:coreProperties>
</file>